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Ex2.xml" ContentType="application/vnd.ms-office.chartex+xml"/>
  <Override PartName="/xl/charts/style10.xml" ContentType="application/vnd.ms-office.chartstyle+xml"/>
  <Override PartName="/xl/charts/colors10.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5.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7.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8.xml" ContentType="application/vnd.openxmlformats-officedocument.drawing+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D:\Internship\RCHO\"/>
    </mc:Choice>
  </mc:AlternateContent>
  <xr:revisionPtr revIDLastSave="0" documentId="13_ncr:1_{CFDE4EAC-490C-4DDD-9546-FA859F68AB7B}" xr6:coauthVersionLast="47" xr6:coauthVersionMax="47" xr10:uidLastSave="{00000000-0000-0000-0000-000000000000}"/>
  <bookViews>
    <workbookView xWindow="-108" yWindow="-108" windowWidth="23256" windowHeight="12456" xr2:uid="{00000000-000D-0000-FFFF-FFFF00000000}"/>
  </bookViews>
  <sheets>
    <sheet name="Dashboard" sheetId="13" r:id="rId1"/>
    <sheet name="ANC dataset" sheetId="1" r:id="rId2"/>
    <sheet name="PW new registered" sheetId="2" state="hidden" r:id="rId3"/>
    <sheet name="PW registered by age" sheetId="4" state="hidden" r:id="rId4"/>
    <sheet name="PW registered by TD" sheetId="5" state="hidden" r:id="rId5"/>
    <sheet name="Hypertension" sheetId="6" state="hidden" r:id="rId6"/>
    <sheet name="Hb records" sheetId="7" state="hidden" r:id="rId7"/>
    <sheet name="Diabetics" sheetId="8" state="hidden" r:id="rId8"/>
    <sheet name="Syphilis records" sheetId="9" state="hidden" r:id="rId9"/>
    <sheet name="Thyroid and TB" sheetId="10" state="hidden" r:id="rId10"/>
    <sheet name="HRP" sheetId="11" state="hidden" r:id="rId11"/>
  </sheets>
  <definedNames>
    <definedName name="_xlnm._FilterDatabase" localSheetId="1" hidden="1">'ANC dataset'!$A$1:$AY$485</definedName>
    <definedName name="_xlchart.v2.0" hidden="1">'PW new registered'!$A$8:$A$10</definedName>
    <definedName name="_xlchart.v2.1" hidden="1">'PW new registered'!$B$8:$B$10</definedName>
    <definedName name="_xlchart.v2.2" hidden="1">'PW new registered'!$A$8:$A$10</definedName>
    <definedName name="_xlchart.v2.3" hidden="1">'PW new registered'!$B$8:$B$10</definedName>
    <definedName name="Slicer_Ownership">#N/A</definedName>
    <definedName name="Slicer_PHC_Name">#N/A</definedName>
    <definedName name="Slicer_Sub_District___ULB_Name2">#N/A</definedName>
  </definedNames>
  <calcPr calcId="191029"/>
  <pivotCaches>
    <pivotCache cacheId="4" r:id="rId12"/>
  </pivotCaches>
  <extLst>
    <ext xmlns:x14="http://schemas.microsoft.com/office/spreadsheetml/2009/9/main" uri="{BBE1A952-AA13-448e-AADC-164F8A28A991}">
      <x14:slicerCaches>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30" i="11" l="1"/>
  <c r="B30" i="11"/>
  <c r="C30" i="11"/>
  <c r="D30" i="11"/>
  <c r="E30" i="11"/>
  <c r="A31" i="11"/>
  <c r="B31" i="11"/>
  <c r="C31" i="11"/>
  <c r="D31" i="11"/>
  <c r="E31" i="11"/>
  <c r="A32" i="11"/>
  <c r="B32" i="11"/>
  <c r="C32" i="11"/>
  <c r="D32" i="11"/>
  <c r="E32" i="11"/>
  <c r="A33" i="11"/>
  <c r="B33" i="11"/>
  <c r="C33" i="11"/>
  <c r="D33" i="11"/>
  <c r="E33" i="11"/>
  <c r="D22" i="11"/>
  <c r="D23" i="11"/>
  <c r="D24" i="11"/>
  <c r="D21" i="11"/>
  <c r="D3" i="11"/>
  <c r="D4" i="11"/>
  <c r="D5" i="11"/>
  <c r="D2" i="11"/>
  <c r="L3" i="10"/>
  <c r="L4" i="10"/>
  <c r="L5" i="10"/>
  <c r="L2" i="10"/>
  <c r="D3" i="10"/>
  <c r="D4" i="10"/>
  <c r="D5" i="10"/>
  <c r="D2" i="10"/>
  <c r="D3" i="9"/>
  <c r="D4" i="9"/>
  <c r="D5" i="9"/>
  <c r="D2" i="9"/>
  <c r="D3" i="8"/>
  <c r="D4" i="8"/>
  <c r="D5" i="8"/>
  <c r="D2" i="8"/>
  <c r="D4" i="7"/>
  <c r="D5" i="7"/>
  <c r="D6" i="7"/>
  <c r="D3" i="7"/>
  <c r="D3" i="6"/>
  <c r="D4" i="6"/>
  <c r="D5" i="6"/>
  <c r="D2" i="6"/>
  <c r="E3" i="8"/>
  <c r="E4" i="6"/>
  <c r="E3" i="9"/>
  <c r="E4" i="9"/>
  <c r="E5" i="6"/>
  <c r="E3" i="11"/>
  <c r="E23" i="11"/>
  <c r="B11" i="2"/>
  <c r="M4" i="10"/>
  <c r="M5" i="10"/>
  <c r="E2" i="8"/>
  <c r="E3" i="10"/>
  <c r="E2" i="9"/>
  <c r="E6" i="7"/>
  <c r="E5" i="11"/>
  <c r="E4" i="8"/>
  <c r="E5" i="9"/>
  <c r="E5" i="7"/>
  <c r="E22" i="11"/>
  <c r="E3" i="7"/>
  <c r="B8" i="2"/>
  <c r="E3" i="6"/>
  <c r="E2" i="10"/>
  <c r="E4" i="7"/>
  <c r="M2" i="10"/>
  <c r="E5" i="10"/>
  <c r="E24" i="11"/>
  <c r="B10" i="2"/>
  <c r="E4" i="11"/>
  <c r="B9" i="2"/>
  <c r="E4" i="10"/>
  <c r="E21" i="11"/>
  <c r="E2" i="11"/>
  <c r="E2" i="6"/>
  <c r="E5" i="8"/>
  <c r="M3" i="10"/>
  <c r="A22" i="8" l="1"/>
  <c r="A23" i="8"/>
  <c r="A21" i="8"/>
  <c r="B21" i="8"/>
  <c r="B23" i="8"/>
  <c r="D22" i="8"/>
  <c r="A10" i="5" l="1"/>
  <c r="A11" i="5"/>
  <c r="A9" i="5"/>
  <c r="C10" i="5"/>
  <c r="D9" i="5"/>
  <c r="D10" i="5"/>
  <c r="C11" i="5"/>
  <c r="B9" i="5"/>
  <c r="C22" i="8"/>
  <c r="C9" i="5"/>
  <c r="C21" i="8"/>
  <c r="D23" i="8"/>
  <c r="B11" i="5"/>
  <c r="C23" i="8"/>
  <c r="D11" i="5"/>
  <c r="B22" i="8"/>
  <c r="D21" i="8"/>
  <c r="B10" i="5"/>
</calcChain>
</file>

<file path=xl/sharedStrings.xml><?xml version="1.0" encoding="utf-8"?>
<sst xmlns="http://schemas.openxmlformats.org/spreadsheetml/2006/main" count="2597" uniqueCount="658">
  <si>
    <t>Sub-District / ULB Name</t>
  </si>
  <si>
    <t>Facility Type</t>
  </si>
  <si>
    <t>PHC Name</t>
  </si>
  <si>
    <t>Facility Name</t>
  </si>
  <si>
    <t>Ownership</t>
  </si>
  <si>
    <t xml:space="preserve">1.1 :: Total number of NEW Pregnant Women registered for ANC </t>
  </si>
  <si>
    <t>1.1.a :: Out of total number of NEW Pregnant Women registered with age &lt;15 years</t>
  </si>
  <si>
    <t>1.1.b :: Out of total number of NEW Pregnant Women registered with age 15-19 years</t>
  </si>
  <si>
    <t>1.1.c :: Out of total number of NEW Pregnant Women registered with age &gt;19 to 49 years</t>
  </si>
  <si>
    <t>1.1.d :: Out of total number of NEW Pregnant Women registered with age &gt;49 years</t>
  </si>
  <si>
    <t>1.1.1 :: Out of the total NEW ANC registered, number registered within 1st trimester (within 12 weeks)</t>
  </si>
  <si>
    <t xml:space="preserve">1.1.2 :: Total ANC footfall/cases (Old cases + New Registration) attended </t>
  </si>
  <si>
    <t>1.2.1 :: Number of PW given Td1 (Tetanus Diptheria dose 1)</t>
  </si>
  <si>
    <t>1.2.2 :: Number of PW given Td2 (Tetanus Diptheria dose 2)</t>
  </si>
  <si>
    <t>1.2.3 :: Number of PW given Td Booster (Tetanus Diptheria dose booster)</t>
  </si>
  <si>
    <t xml:space="preserve">1.2.4 :: Number of PW provided full course 180 Iron Folic Acid (IFA) tablets </t>
  </si>
  <si>
    <t xml:space="preserve">1.2.5 :: Number of PW provided full course 360 Calcium tablets </t>
  </si>
  <si>
    <t>1.2.6 :: Number of PW given one Albendazole tablet after 1st trimester</t>
  </si>
  <si>
    <t>1.2.7 :: Number of PW received 4 or more ANC check ups</t>
  </si>
  <si>
    <t>1.2.8 :: Number of PW given ANC Corticosteroids in Pre-Term Labour</t>
  </si>
  <si>
    <t xml:space="preserve">1.3.1 :: New cases of PW with hypertension detected </t>
  </si>
  <si>
    <t xml:space="preserve">1.3.1.a :: Number of PW with hypertension managed at institution </t>
  </si>
  <si>
    <t>1.3.2 :: Number of Eclampsia cases managed during delivery</t>
  </si>
  <si>
    <t>1.4.1 :: Number of PW tested for Haemoglobin (Hb ) 4 or more than 4 times for respective ANCs</t>
  </si>
  <si>
    <t>1.4.2 :: Number of PW having Hb level&lt;11(7.1 to 10.9 g/dl) (Out of total tested cases)</t>
  </si>
  <si>
    <t>1.4.3 :: Number of PW having Hb level&lt;=7 g/dl (Out of total tested cases)</t>
  </si>
  <si>
    <t>1.4.4 :: Number of PW treated for severe anaemia (Hb&lt;=7g/dl) (Out of total tested cases)</t>
  </si>
  <si>
    <t>1.5.1 :: Number of PW tested for Blood Sugar using OGTT(Oral Glucose Tolerance Test)</t>
  </si>
  <si>
    <t>1.5.2 :: Number of PW tested positive for GDM out of total OGTT(Oral Glucose Tolerance Test) conducted</t>
  </si>
  <si>
    <t>1.5.3 :: Number of PW given Insulin out of total tested positive for GDM</t>
  </si>
  <si>
    <t>1.5.4 :: Number of PW given Metformin out of total tested positive for GDM</t>
  </si>
  <si>
    <t>1.6.1.a :: Number of pregnant/Direct-In-Labor (DIL) women screened/tested (with VDRL/RPR/TPHA/RDT/PoC) for Syphilis</t>
  </si>
  <si>
    <t>1.6.1.b :: Number of pregnant/DIL women found Seropositive for Syphilis by VDRL/RPR/TPHA/RDT/PoC test</t>
  </si>
  <si>
    <t>1.6.1.c :: Number of pregnant/DIL women found Syphilis-Seropositive and given treatment with injection Benzathine Penicillin (IM)</t>
  </si>
  <si>
    <t>1.6.1.d :: Number of live births among Syphilis Seropositive Pregnant Women</t>
  </si>
  <si>
    <t xml:space="preserve">1.6.1.e :: Number of babies born to Syphilis-Seropositive Pregnant Women tested positive/ clinically diagnosed for congenital Syphilis </t>
  </si>
  <si>
    <t xml:space="preserve">1.6.1.f :: Out of above, babies with congenital Syphilis received curative treatment </t>
  </si>
  <si>
    <t>1.7.1 :: Number of Pregnant Women tested positive for Thyroid disorder</t>
  </si>
  <si>
    <t>1.7.2 :: Number of Pregnant Women treated for thyroid disorder</t>
  </si>
  <si>
    <t xml:space="preserve">1.8.1 :: Number of Pregnant Women screened for TB </t>
  </si>
  <si>
    <t>1.8.2 :: Number of Pregnant Women identified  with Presumptive TB symptoms</t>
  </si>
  <si>
    <t xml:space="preserve">1.8.3 :: Number of Pregnant Women referred out of those identified with Presumptive TB symptoms </t>
  </si>
  <si>
    <t>1.9.1 :: Total High Risk Pregnancy (HRP) Intrapartum including following:</t>
  </si>
  <si>
    <t>1.9.1.a :: Number of Pregnant Women with Post-Partum Haemorrhage(Immediately after delivery) in the facility.</t>
  </si>
  <si>
    <t>1.9.1.b :: Number of Pregnant Women with Sepsis in the facility.</t>
  </si>
  <si>
    <t>1.9.1.c :: Number of Pregnant Women identified with Eclampsia in the facility</t>
  </si>
  <si>
    <t>1.9.1.d :: Number of Pregnant Women identified with obstructed labour in the facility.</t>
  </si>
  <si>
    <t>1.9.2 :: Total High Risk Pregnancy (HRP) Antepartum (Only New Cases are to be reported)</t>
  </si>
  <si>
    <t>1.9.3 :: Total no. of ANC or PNC cases referred to Higher/ any other  facility</t>
  </si>
  <si>
    <t>1.9.4 :: Total no. of ANC or PNC cases referred in to the facility</t>
  </si>
  <si>
    <t>1.9.5 :: Number of Complicated pregnancies treated with Blood Transfusion</t>
  </si>
  <si>
    <t>Karkal</t>
  </si>
  <si>
    <t>AAM-SC/SC</t>
  </si>
  <si>
    <t>Muniyal PHC</t>
  </si>
  <si>
    <t>ANDARU</t>
  </si>
  <si>
    <t>Public</t>
  </si>
  <si>
    <t>Hebri CHC</t>
  </si>
  <si>
    <t>BELINJE</t>
  </si>
  <si>
    <t>CHARA</t>
  </si>
  <si>
    <t>HEBRI-A</t>
  </si>
  <si>
    <t>HEBRI-B</t>
  </si>
  <si>
    <t>KABBINALE</t>
  </si>
  <si>
    <t>Kuchoor</t>
  </si>
  <si>
    <t>MUDRADI-A</t>
  </si>
  <si>
    <t>MUDRADI-B</t>
  </si>
  <si>
    <t>MUNIYALU</t>
  </si>
  <si>
    <t>PADUKANDURU</t>
  </si>
  <si>
    <t>Seethanadi</t>
  </si>
  <si>
    <t>SHIVPUR-A</t>
  </si>
  <si>
    <t>SHIVPUR-B</t>
  </si>
  <si>
    <t>Someshwara</t>
  </si>
  <si>
    <t>VARANGA</t>
  </si>
  <si>
    <t>AAM-PHC/PHC</t>
  </si>
  <si>
    <t>MUNIYAL</t>
  </si>
  <si>
    <t>Community Health Centre</t>
  </si>
  <si>
    <t>HEBRI</t>
  </si>
  <si>
    <t>Ajekar PHC</t>
  </si>
  <si>
    <t>AJEKAR</t>
  </si>
  <si>
    <t>Bailoor PHC</t>
  </si>
  <si>
    <t>BAILOOR</t>
  </si>
  <si>
    <t>Belman PHC</t>
  </si>
  <si>
    <t>BELMAN-A</t>
  </si>
  <si>
    <t>BELMAN-B</t>
  </si>
  <si>
    <t>Nitte CHC</t>
  </si>
  <si>
    <t>BOLA-A</t>
  </si>
  <si>
    <t>BOLA-B</t>
  </si>
  <si>
    <t>Durga PHC</t>
  </si>
  <si>
    <t>DHURGA</t>
  </si>
  <si>
    <t>HERMUNDE</t>
  </si>
  <si>
    <t>Hirgana PHC</t>
  </si>
  <si>
    <t>HIRGANA-A</t>
  </si>
  <si>
    <t>HIRGANA-B</t>
  </si>
  <si>
    <t>Idu PHC</t>
  </si>
  <si>
    <t>IDU A</t>
  </si>
  <si>
    <t>Idu B</t>
  </si>
  <si>
    <t>Inna PHC</t>
  </si>
  <si>
    <t>INNA-A</t>
  </si>
  <si>
    <t>INNA-B</t>
  </si>
  <si>
    <t>Irvathur PHC</t>
  </si>
  <si>
    <t>IRVATHOOR-A</t>
  </si>
  <si>
    <t>IRVATHOOR-B</t>
  </si>
  <si>
    <t>Donderangadi PHC</t>
  </si>
  <si>
    <t>KADTHALA</t>
  </si>
  <si>
    <t>Palli PHC</t>
  </si>
  <si>
    <t>KALYA</t>
  </si>
  <si>
    <t>KANANJAR</t>
  </si>
  <si>
    <t>KANTHAVARA</t>
  </si>
  <si>
    <t>KEDINJE</t>
  </si>
  <si>
    <t>Mala PHC</t>
  </si>
  <si>
    <t>Kervashe</t>
  </si>
  <si>
    <t>KOWDOOR</t>
  </si>
  <si>
    <t>KUKKUJE</t>
  </si>
  <si>
    <t>Kukkundoor PHC</t>
  </si>
  <si>
    <t>KUKKUNDOOR -A</t>
  </si>
  <si>
    <t>KUKKUNDOOR -B</t>
  </si>
  <si>
    <t>MALA-A</t>
  </si>
  <si>
    <t>MALA-B</t>
  </si>
  <si>
    <t>MIYARU -A</t>
  </si>
  <si>
    <t>MIYARU B</t>
  </si>
  <si>
    <t>Bajagoli PHC</t>
  </si>
  <si>
    <t>MUDAR</t>
  </si>
  <si>
    <t>Sacheripete PHC</t>
  </si>
  <si>
    <t>MULLADAKA</t>
  </si>
  <si>
    <t>MUNDKURU</t>
  </si>
  <si>
    <t>NALLURU-A</t>
  </si>
  <si>
    <t>NALLURU-B</t>
  </si>
  <si>
    <t>Nandalike PHC</t>
  </si>
  <si>
    <t>NANDALIKE-A</t>
  </si>
  <si>
    <t>NANDALIKE-B</t>
  </si>
  <si>
    <t>NEERE</t>
  </si>
  <si>
    <t>NINJOOR</t>
  </si>
  <si>
    <t>NITTE-A</t>
  </si>
  <si>
    <t>NITTE-B</t>
  </si>
  <si>
    <t>NITTE-C</t>
  </si>
  <si>
    <t>NOORALABETTU</t>
  </si>
  <si>
    <t>PALLI</t>
  </si>
  <si>
    <t>RENJALA</t>
  </si>
  <si>
    <t>SACHARIPETE A</t>
  </si>
  <si>
    <t>SACHERIPATE- B</t>
  </si>
  <si>
    <t>SANUR-A</t>
  </si>
  <si>
    <t>SANUR-B</t>
  </si>
  <si>
    <t>Shirlal</t>
  </si>
  <si>
    <t>SOODA</t>
  </si>
  <si>
    <t>YELLARE</t>
  </si>
  <si>
    <t>YENNEHOLE</t>
  </si>
  <si>
    <t>YERLAPADI</t>
  </si>
  <si>
    <t>AJEKARU</t>
  </si>
  <si>
    <t>BAILORE</t>
  </si>
  <si>
    <t>BAJAGOLI</t>
  </si>
  <si>
    <t>BELMAN</t>
  </si>
  <si>
    <t>DONDARANGAADI</t>
  </si>
  <si>
    <t>DURGA</t>
  </si>
  <si>
    <t>HIRGANA</t>
  </si>
  <si>
    <t>IDU</t>
  </si>
  <si>
    <t>INNA</t>
  </si>
  <si>
    <t>IRVATHOOR</t>
  </si>
  <si>
    <t>ESI Hospital</t>
  </si>
  <si>
    <t>Karkala ESI Disp</t>
  </si>
  <si>
    <t>KUKKUNDOOR</t>
  </si>
  <si>
    <t>MALA</t>
  </si>
  <si>
    <t>NANDALIKE</t>
  </si>
  <si>
    <t>PALI</t>
  </si>
  <si>
    <t>SACHERIPETE</t>
  </si>
  <si>
    <t>NITTE</t>
  </si>
  <si>
    <t>GH Karkala</t>
  </si>
  <si>
    <t>KARKALA -A</t>
  </si>
  <si>
    <t>KARKALA -B</t>
  </si>
  <si>
    <t>KARKALA -C</t>
  </si>
  <si>
    <t>NC Marinapura</t>
  </si>
  <si>
    <t>Namma Clinic Marinapura</t>
  </si>
  <si>
    <t>Karkala Other Pvt Hospitals</t>
  </si>
  <si>
    <t>GANESH CLINIC AND LABORTORY PVT HOSPITAL</t>
  </si>
  <si>
    <t>Private</t>
  </si>
  <si>
    <t>Sub District Hospital</t>
  </si>
  <si>
    <t>AMAR JYOTHI PVT HOSPITAL</t>
  </si>
  <si>
    <t>CITY NURSING PVT HOSPITAL</t>
  </si>
  <si>
    <t>DR. T.M.A.PAI ROTARY HOSPITAL  KARKALA Pvt Hospital</t>
  </si>
  <si>
    <t>FRU KARKALA TALUK HOSPITAL</t>
  </si>
  <si>
    <t>KARKALA NURSING  PVT HOSPITAL</t>
  </si>
  <si>
    <t>"NITTE GAJRIA SPECIALITY HOSPITAL  Pvt Hospital</t>
  </si>
  <si>
    <t>SPANDANA MATERNITY PVT HOSPITAL</t>
  </si>
  <si>
    <t>Kundapura</t>
  </si>
  <si>
    <t>Nada PHC</t>
  </si>
  <si>
    <t>BADAKERI</t>
  </si>
  <si>
    <t>Byndoor CHC</t>
  </si>
  <si>
    <t>BIJURU</t>
  </si>
  <si>
    <t>BYNDOOR-A</t>
  </si>
  <si>
    <t>BYNDOOR-B</t>
  </si>
  <si>
    <t>Kollur PHC</t>
  </si>
  <si>
    <t>GOLIHOLE</t>
  </si>
  <si>
    <t>Maravanthe PHC</t>
  </si>
  <si>
    <t>GUJJADI-A</t>
  </si>
  <si>
    <t>GUJJADI-B</t>
  </si>
  <si>
    <t>HADAVU</t>
  </si>
  <si>
    <t>Hallihole PHC</t>
  </si>
  <si>
    <t>HALLIHOLE-A</t>
  </si>
  <si>
    <t>HALLIHOLE-B</t>
  </si>
  <si>
    <t>Kirimanjeshwara PHC</t>
  </si>
  <si>
    <t>HERENJAL</t>
  </si>
  <si>
    <t>HERURU</t>
  </si>
  <si>
    <t>HOSADU</t>
  </si>
  <si>
    <t>JADKAL</t>
  </si>
  <si>
    <t>KALTHODU</t>
  </si>
  <si>
    <t>KAMALASHELE</t>
  </si>
  <si>
    <t>KAMBADAKONE</t>
  </si>
  <si>
    <t>KERGAL</t>
  </si>
  <si>
    <t>KIRIMANJESWARA-A</t>
  </si>
  <si>
    <t>KIRIMANJESWARA - B</t>
  </si>
  <si>
    <t>KOLLUR-A</t>
  </si>
  <si>
    <t>KOLLUR-B</t>
  </si>
  <si>
    <t>MARVANTE</t>
  </si>
  <si>
    <t>MUDDURU</t>
  </si>
  <si>
    <t>NADA-A</t>
  </si>
  <si>
    <t>NADA-B</t>
  </si>
  <si>
    <t>NAVUND-A</t>
  </si>
  <si>
    <t>Shiroor PHC</t>
  </si>
  <si>
    <t>PADUVARI</t>
  </si>
  <si>
    <t>SENAPUR</t>
  </si>
  <si>
    <t>SHIROOR-A</t>
  </si>
  <si>
    <t>SHIROOR-B</t>
  </si>
  <si>
    <t>TEGGARSE</t>
  </si>
  <si>
    <t>TRASI</t>
  </si>
  <si>
    <t>ULLURU-11</t>
  </si>
  <si>
    <t>UPBANDA-A</t>
  </si>
  <si>
    <t>UPBANDA-B</t>
  </si>
  <si>
    <t>YDATHARE-A</t>
  </si>
  <si>
    <t>YDATHARE-B</t>
  </si>
  <si>
    <t>HALLIHOLE</t>
  </si>
  <si>
    <t>KIRIMANJESHWARA</t>
  </si>
  <si>
    <t>KOLLUR</t>
  </si>
  <si>
    <t>MARAVANTHE</t>
  </si>
  <si>
    <t>NADA</t>
  </si>
  <si>
    <t>SHIROOR</t>
  </si>
  <si>
    <t>BAINDOOR</t>
  </si>
  <si>
    <t>Belve PHC</t>
  </si>
  <si>
    <t>ALABADI</t>
  </si>
  <si>
    <t>BELVE</t>
  </si>
  <si>
    <t>MADAMAKKI</t>
  </si>
  <si>
    <t>SHEDIMANE</t>
  </si>
  <si>
    <t>BELUVE</t>
  </si>
  <si>
    <t>Siddapura PHC</t>
  </si>
  <si>
    <t>AJRI</t>
  </si>
  <si>
    <t>Aloor PHC</t>
  </si>
  <si>
    <t>ALOOR</t>
  </si>
  <si>
    <t>Halady PHC</t>
  </si>
  <si>
    <t>AMASEBAILU</t>
  </si>
  <si>
    <t>Shankarnarayana PHC</t>
  </si>
  <si>
    <t>AMPARU</t>
  </si>
  <si>
    <t>Basrur PHC</t>
  </si>
  <si>
    <t>ANGALLI</t>
  </si>
  <si>
    <t>Kandlur PHC</t>
  </si>
  <si>
    <t>BALKURU</t>
  </si>
  <si>
    <t>BASRURU-A</t>
  </si>
  <si>
    <t>BASRURU-B</t>
  </si>
  <si>
    <t>Vandse PHC</t>
  </si>
  <si>
    <t>BELALAKERADI</t>
  </si>
  <si>
    <t>Kedur PHC</t>
  </si>
  <si>
    <t>BELUR</t>
  </si>
  <si>
    <t>Kumbashi PHC</t>
  </si>
  <si>
    <t>BIJADI</t>
  </si>
  <si>
    <t>CHITTURU</t>
  </si>
  <si>
    <t>Gangolli PHC</t>
  </si>
  <si>
    <t>DEVLAKUNDA</t>
  </si>
  <si>
    <t>GANGOLLI-A</t>
  </si>
  <si>
    <t>GANGOLLI-B</t>
  </si>
  <si>
    <t>GULVADI-A</t>
  </si>
  <si>
    <t>GULVADI-B</t>
  </si>
  <si>
    <t>Haklady PHC</t>
  </si>
  <si>
    <t>HAKLADI</t>
  </si>
  <si>
    <t>Bidkalkatte PHC</t>
  </si>
  <si>
    <t>HALADIHRKADI</t>
  </si>
  <si>
    <t>HALNADU</t>
  </si>
  <si>
    <t>Kodi PHC</t>
  </si>
  <si>
    <t>HANGALUR</t>
  </si>
  <si>
    <t>HARDALLIMANDALLI</t>
  </si>
  <si>
    <t>HARKUR</t>
  </si>
  <si>
    <t>HATTIYANGADI</t>
  </si>
  <si>
    <t>HEMMADI</t>
  </si>
  <si>
    <t>HENGAVALLLI</t>
  </si>
  <si>
    <t>HOMBADIMANDADI</t>
  </si>
  <si>
    <t>HOSANGADI</t>
  </si>
  <si>
    <t>HOSUR</t>
  </si>
  <si>
    <t>IDURU-KUNJADI</t>
  </si>
  <si>
    <t>JAPTI</t>
  </si>
  <si>
    <t>Korgi PHC</t>
  </si>
  <si>
    <t>KALAVARA</t>
  </si>
  <si>
    <t>KALUNJE</t>
  </si>
  <si>
    <t>KANDAVARA</t>
  </si>
  <si>
    <t>KARKUNJI</t>
  </si>
  <si>
    <t>KATTEBLETHALURU</t>
  </si>
  <si>
    <t>KAVRADI</t>
  </si>
  <si>
    <t>KEDURU</t>
  </si>
  <si>
    <t>KENCHANURU</t>
  </si>
  <si>
    <t>KODI-A</t>
  </si>
  <si>
    <t>KODI -B</t>
  </si>
  <si>
    <t>KODLADI</t>
  </si>
  <si>
    <t>KONI</t>
  </si>
  <si>
    <t>KORAWADI</t>
  </si>
  <si>
    <t>KORGI</t>
  </si>
  <si>
    <t>Koteshwara PHC</t>
  </si>
  <si>
    <t>KOTESHWAR-A</t>
  </si>
  <si>
    <t>KOTESHWARA B</t>
  </si>
  <si>
    <t>KUMBASHI</t>
  </si>
  <si>
    <t>KUNDA-BARANDADI</t>
  </si>
  <si>
    <t>Kundapura GH</t>
  </si>
  <si>
    <t>Kundapura kasaba</t>
  </si>
  <si>
    <t>MACHATTU</t>
  </si>
  <si>
    <t>MOLAHALLI</t>
  </si>
  <si>
    <t>MUDUHALADI-28</t>
  </si>
  <si>
    <t>NUJADI</t>
  </si>
  <si>
    <t>PADUHALADI-78</t>
  </si>
  <si>
    <t>RAITTADI</t>
  </si>
  <si>
    <t>SHANKARANARAYANA</t>
  </si>
  <si>
    <t>SIDDAPUR-A</t>
  </si>
  <si>
    <t>SIDDAPUR-B</t>
  </si>
  <si>
    <t>TEKKATTE</t>
  </si>
  <si>
    <t>THALLUR</t>
  </si>
  <si>
    <t>ULLURU-78</t>
  </si>
  <si>
    <t>ULTURU</t>
  </si>
  <si>
    <t>UPPINAKUDRU</t>
  </si>
  <si>
    <t>VAKKUVADI</t>
  </si>
  <si>
    <t>VANDSE</t>
  </si>
  <si>
    <t>VARAHI</t>
  </si>
  <si>
    <t>YADADIMATHYADI</t>
  </si>
  <si>
    <t>YADMAGE</t>
  </si>
  <si>
    <t>ALOORU</t>
  </si>
  <si>
    <t>BASRUR</t>
  </si>
  <si>
    <t>BIDKALKATTE</t>
  </si>
  <si>
    <t>GANGOLLI</t>
  </si>
  <si>
    <t>HAKLADY</t>
  </si>
  <si>
    <t>HALADI</t>
  </si>
  <si>
    <t>HATIYANGADI</t>
  </si>
  <si>
    <t>KANDLOR</t>
  </si>
  <si>
    <t>KEDUR</t>
  </si>
  <si>
    <t>KODI</t>
  </si>
  <si>
    <t>KORUGI</t>
  </si>
  <si>
    <t>KOTESHWARA</t>
  </si>
  <si>
    <t>KUMBHASHI</t>
  </si>
  <si>
    <t>SHANKARANARAYANA (24X7)</t>
  </si>
  <si>
    <t>SIDDAPURA</t>
  </si>
  <si>
    <t>VADSE</t>
  </si>
  <si>
    <t>NC Kharvikeri</t>
  </si>
  <si>
    <t>Namma Clinic Kharvikeri</t>
  </si>
  <si>
    <t>NC TT Road</t>
  </si>
  <si>
    <t>Namma Clinic T.T Road</t>
  </si>
  <si>
    <t>Kundapura ESI Disp</t>
  </si>
  <si>
    <t>Kundapura Other Pvt Hospitals</t>
  </si>
  <si>
    <t>MARIAM CLINIC KUNDAPURA PVT HOSPITAL</t>
  </si>
  <si>
    <t>NAVAMASA womens speciality clinic KOTESHVARA PVT HOSPITAL</t>
  </si>
  <si>
    <t>Adarsha Pvt  Hospital Kundapura</t>
  </si>
  <si>
    <t>B RAJENDRA SHETTY PVT HOSPITAL</t>
  </si>
  <si>
    <t>Chandra Nursing home Pvt Hospital, Gangolli</t>
  </si>
  <si>
    <t>Chinmayi Pvt  Hospital</t>
  </si>
  <si>
    <t>FRU KUNDAPURA TALUK HOSPITAL</t>
  </si>
  <si>
    <t>KSHEMA PVT HOSPITAL</t>
  </si>
  <si>
    <t>NR Acharya  Pvt Hospital, Koteshwara</t>
  </si>
  <si>
    <t>PRIME PVT HOSPITAL</t>
  </si>
  <si>
    <t>SOWMYA PVT HOSPITAL</t>
  </si>
  <si>
    <t>SRI DEVI NURSING HOME PVT HOSPITAL</t>
  </si>
  <si>
    <t>Sri Durga Pvt  Hospital</t>
  </si>
  <si>
    <t>Sri Manjunatha hospital Kundapura Pvt  hospital</t>
  </si>
  <si>
    <t>Sri Sai  Pvt Hospital</t>
  </si>
  <si>
    <t>SURGEONS  PVT HOSPITAL</t>
  </si>
  <si>
    <t>Vinay  Pvt Hospital</t>
  </si>
  <si>
    <t>Udupi</t>
  </si>
  <si>
    <t>Saibrakatte PHC</t>
  </si>
  <si>
    <t>ACHLADI</t>
  </si>
  <si>
    <t>Pethri PHC</t>
  </si>
  <si>
    <t>AROOR</t>
  </si>
  <si>
    <t>Avarse PHC</t>
  </si>
  <si>
    <t>AVERSE</t>
  </si>
  <si>
    <t>BANNADI</t>
  </si>
  <si>
    <t>BILLADI</t>
  </si>
  <si>
    <t>Brahmavara CHC</t>
  </si>
  <si>
    <t>CHANTHARU</t>
  </si>
  <si>
    <t>CHERKADI</t>
  </si>
  <si>
    <t>Kota CHC</t>
  </si>
  <si>
    <t>GILIYARU</t>
  </si>
  <si>
    <t>Saligrama PHC</t>
  </si>
  <si>
    <t>GUNDMI</t>
  </si>
  <si>
    <t>Karje PHC</t>
  </si>
  <si>
    <t>HALUVALLI</t>
  </si>
  <si>
    <t>HANDADI</t>
  </si>
  <si>
    <t>Barkur PHC</t>
  </si>
  <si>
    <t>HANEHALLI</t>
  </si>
  <si>
    <t>Sasthana PHC</t>
  </si>
  <si>
    <t>HANGARAKATTE</t>
  </si>
  <si>
    <t>HARADI</t>
  </si>
  <si>
    <t>Kolalagiri PHC</t>
  </si>
  <si>
    <t>HAVANJE</t>
  </si>
  <si>
    <t>Mandarthi PHC</t>
  </si>
  <si>
    <t>HEGGUNJE</t>
  </si>
  <si>
    <t>HERADI</t>
  </si>
  <si>
    <t>HEROOR B</t>
  </si>
  <si>
    <t>HILIYANA</t>
  </si>
  <si>
    <t>HONNALA</t>
  </si>
  <si>
    <t>HOSALA</t>
  </si>
  <si>
    <t>IRODI</t>
  </si>
  <si>
    <t>KACHURU</t>
  </si>
  <si>
    <t>KADUR</t>
  </si>
  <si>
    <t>KALTHUR</t>
  </si>
  <si>
    <t>KARJE</t>
  </si>
  <si>
    <t>KARKADA</t>
  </si>
  <si>
    <t>KAWADI</t>
  </si>
  <si>
    <t>KENJURU</t>
  </si>
  <si>
    <t>Kodibengre PHC</t>
  </si>
  <si>
    <t>KODIBENGRE</t>
  </si>
  <si>
    <t>KODIKANYANA</t>
  </si>
  <si>
    <t>KOLALGIRI</t>
  </si>
  <si>
    <t>KOTATHATTU</t>
  </si>
  <si>
    <t>Kokkarne PHC</t>
  </si>
  <si>
    <t>KUDI</t>
  </si>
  <si>
    <t>KUNJALU</t>
  </si>
  <si>
    <t>KURADI</t>
  </si>
  <si>
    <t>MANOOR</t>
  </si>
  <si>
    <t>MATPADI</t>
  </si>
  <si>
    <t>MUDUGILIYAR</t>
  </si>
  <si>
    <t>MUDUHADU</t>
  </si>
  <si>
    <t>MUNKINAJEDDU</t>
  </si>
  <si>
    <t>NADUR</t>
  </si>
  <si>
    <t>NALKUR</t>
  </si>
  <si>
    <t>NEELAVARA</t>
  </si>
  <si>
    <t>NENCHARU</t>
  </si>
  <si>
    <t>PANDESHWARA</t>
  </si>
  <si>
    <t>PARAMPALLI</t>
  </si>
  <si>
    <t>PEJAMANGUR</t>
  </si>
  <si>
    <t>PETHRI</t>
  </si>
  <si>
    <t>SHIROOR A</t>
  </si>
  <si>
    <t>Kukkehalli PHC</t>
  </si>
  <si>
    <t>SHIROOR B (41)</t>
  </si>
  <si>
    <t>SIRIYARA</t>
  </si>
  <si>
    <t>UPOOR</t>
  </si>
  <si>
    <t>VANDARA</t>
  </si>
  <si>
    <t>VARAMBALLI</t>
  </si>
  <si>
    <t>YEDTADI</t>
  </si>
  <si>
    <t>KARUJE</t>
  </si>
  <si>
    <t>KOKKARNE</t>
  </si>
  <si>
    <t>KOLALAGIRI</t>
  </si>
  <si>
    <t>PETRI</t>
  </si>
  <si>
    <t>BRAHMAVARA</t>
  </si>
  <si>
    <t>KOTA</t>
  </si>
  <si>
    <t>Shirva CHC</t>
  </si>
  <si>
    <t>108 KALATHURU</t>
  </si>
  <si>
    <t>Kaup PHC</t>
  </si>
  <si>
    <t>92 HEROOR</t>
  </si>
  <si>
    <t>Padubidri PHC</t>
  </si>
  <si>
    <t>BADA</t>
  </si>
  <si>
    <t>BELAPU</t>
  </si>
  <si>
    <t>Moodabettu PHC</t>
  </si>
  <si>
    <t>GUDDEYENGADI</t>
  </si>
  <si>
    <t>HEJAMADI A</t>
  </si>
  <si>
    <t>HEJAMADI B</t>
  </si>
  <si>
    <t>INNANJE</t>
  </si>
  <si>
    <t>Peranankila PHC</t>
  </si>
  <si>
    <t>KATTINGERI</t>
  </si>
  <si>
    <t>KOTE</t>
  </si>
  <si>
    <t>KUDI 82</t>
  </si>
  <si>
    <t>KURKALU</t>
  </si>
  <si>
    <t>KUTHYARU</t>
  </si>
  <si>
    <t>MAJOOR</t>
  </si>
  <si>
    <t>MALLAR</t>
  </si>
  <si>
    <t>MATTAR</t>
  </si>
  <si>
    <t>MATTU</t>
  </si>
  <si>
    <t>MOODABETTU</t>
  </si>
  <si>
    <t>MOODUBELLE</t>
  </si>
  <si>
    <t>MOOLUR</t>
  </si>
  <si>
    <t>NADSAL</t>
  </si>
  <si>
    <t>Mudarangadi PHC</t>
  </si>
  <si>
    <t>NANDIKURU</t>
  </si>
  <si>
    <t>PADEBETTU</t>
  </si>
  <si>
    <t>PADU</t>
  </si>
  <si>
    <t>PADUBELLE</t>
  </si>
  <si>
    <t>PADUBIDRI-A</t>
  </si>
  <si>
    <t>PADUBIDRI-B</t>
  </si>
  <si>
    <t>PADUR</t>
  </si>
  <si>
    <t>PALIMAR</t>
  </si>
  <si>
    <t>PANGALA</t>
  </si>
  <si>
    <t>PILAR</t>
  </si>
  <si>
    <t>SANTHOOR</t>
  </si>
  <si>
    <t>SHIRVA-A</t>
  </si>
  <si>
    <t>SHIRVA-B</t>
  </si>
  <si>
    <t>SHIRVA-C</t>
  </si>
  <si>
    <t>TENKA</t>
  </si>
  <si>
    <t>UCHILA</t>
  </si>
  <si>
    <t>ULIYARGOLI</t>
  </si>
  <si>
    <t>YELLUR A</t>
  </si>
  <si>
    <t>YELLUR B</t>
  </si>
  <si>
    <t>YENAGUDDE</t>
  </si>
  <si>
    <t>KAUP</t>
  </si>
  <si>
    <t>MOODUBETTU</t>
  </si>
  <si>
    <t>MUDARANGADI</t>
  </si>
  <si>
    <t>PADUBIDRI</t>
  </si>
  <si>
    <t>SHIRUVA</t>
  </si>
  <si>
    <t>Hirebettu PHC</t>
  </si>
  <si>
    <t>80 BADAGUBETTU</t>
  </si>
  <si>
    <t>Manipura PHC</t>
  </si>
  <si>
    <t>ALEVOOR</t>
  </si>
  <si>
    <t>ANJAR</t>
  </si>
  <si>
    <t>ATHRADI</t>
  </si>
  <si>
    <t>Kemmannu PHC</t>
  </si>
  <si>
    <t>BADANIDIYOOR A</t>
  </si>
  <si>
    <t>BADANIDIYOOR B</t>
  </si>
  <si>
    <t>BELLAMPALLI</t>
  </si>
  <si>
    <t>BELLARPADY</t>
  </si>
  <si>
    <t>BOLJE</t>
  </si>
  <si>
    <t>BYRAMPALLI</t>
  </si>
  <si>
    <t>GUJJARABETTU</t>
  </si>
  <si>
    <t>HERGA A</t>
  </si>
  <si>
    <t>HERGA B</t>
  </si>
  <si>
    <t>HIREBETTU</t>
  </si>
  <si>
    <t>Hiriyadka PHC</t>
  </si>
  <si>
    <t>HIRIYADKA A</t>
  </si>
  <si>
    <t>HIRIYADKA B</t>
  </si>
  <si>
    <t>HOODE</t>
  </si>
  <si>
    <t>Malpe PHC</t>
  </si>
  <si>
    <t>KADEKAR</t>
  </si>
  <si>
    <t>KALMADI</t>
  </si>
  <si>
    <t>KALYANPURA</t>
  </si>
  <si>
    <t>Manipal UPHC</t>
  </si>
  <si>
    <t>KARAMBALLI</t>
  </si>
  <si>
    <t>KELARKALABETTU</t>
  </si>
  <si>
    <t>KEMMANNU</t>
  </si>
  <si>
    <t>KIDIYOOR</t>
  </si>
  <si>
    <t>KODAVOOR A</t>
  </si>
  <si>
    <t>KODAVOOR B</t>
  </si>
  <si>
    <t>KORANGRAPADI-A</t>
  </si>
  <si>
    <t>KORANGRAPADI-B</t>
  </si>
  <si>
    <t>KUKKEHALLI</t>
  </si>
  <si>
    <t>KUTHPADI</t>
  </si>
  <si>
    <t>MANIPURA</t>
  </si>
  <si>
    <t>MARNE</t>
  </si>
  <si>
    <t>NIDAMBALLI</t>
  </si>
  <si>
    <t>PADIGARA</t>
  </si>
  <si>
    <t>PERANANKILA</t>
  </si>
  <si>
    <t>PERDUR</t>
  </si>
  <si>
    <t>PITHRODI</t>
  </si>
  <si>
    <t>PUTTIGE</t>
  </si>
  <si>
    <t>TENKANIDIYOOR</t>
  </si>
  <si>
    <t>AVARSEE</t>
  </si>
  <si>
    <t>BARKUR</t>
  </si>
  <si>
    <t>Kukkikatte UFWC</t>
  </si>
  <si>
    <t>FPAI UDUPI</t>
  </si>
  <si>
    <t>HIREBETTUR</t>
  </si>
  <si>
    <t>HIRIADKA</t>
  </si>
  <si>
    <t>KEMMAN</t>
  </si>
  <si>
    <t>KODIBNGRE</t>
  </si>
  <si>
    <t>KUKKEHALI</t>
  </si>
  <si>
    <t>MALPE</t>
  </si>
  <si>
    <t>MANDARTHI</t>
  </si>
  <si>
    <t>MANIPUR</t>
  </si>
  <si>
    <t>PERNANKILA</t>
  </si>
  <si>
    <t>SAIBRAKATTE</t>
  </si>
  <si>
    <t>SALIGRAMA</t>
  </si>
  <si>
    <t>SASTANA</t>
  </si>
  <si>
    <t>76 BADAGABETTU</t>
  </si>
  <si>
    <t>Udupi UPHC</t>
  </si>
  <si>
    <t>Aadi Udupi</t>
  </si>
  <si>
    <t>AMBALAPADI</t>
  </si>
  <si>
    <t>Bailur</t>
  </si>
  <si>
    <t>Gopalpura</t>
  </si>
  <si>
    <t>Indiranagara</t>
  </si>
  <si>
    <t>Indrali</t>
  </si>
  <si>
    <t>Kakkunje</t>
  </si>
  <si>
    <t>Kinnimulky</t>
  </si>
  <si>
    <t>Kodankoor</t>
  </si>
  <si>
    <t>KUNJIBETTU</t>
  </si>
  <si>
    <t>Manipal</t>
  </si>
  <si>
    <t>MOODUPERAMPALLI</t>
  </si>
  <si>
    <t>NC Beedanagudde</t>
  </si>
  <si>
    <t>Namma Clinic Beedanagudde</t>
  </si>
  <si>
    <t>NC Kakkunje</t>
  </si>
  <si>
    <t>Namma Clinic Kakkunje</t>
  </si>
  <si>
    <t>NC Nittur</t>
  </si>
  <si>
    <t>Namma Clinic Nittur</t>
  </si>
  <si>
    <t>Nittur</t>
  </si>
  <si>
    <t>Olakadu</t>
  </si>
  <si>
    <t>Sagri</t>
  </si>
  <si>
    <t>Shiribeedu</t>
  </si>
  <si>
    <t>Udupi Other Pvt Hospitals</t>
  </si>
  <si>
    <t>ARUNA CLINIC UDUPI PVT HOSPITAL</t>
  </si>
  <si>
    <t>GAYATHRI CLINIC UDUPI PVT HOSPITAL</t>
  </si>
  <si>
    <t>GEETHA MATERNITY CLINIC PVT HOSPITAL</t>
  </si>
  <si>
    <t>Manipal ESI Disp</t>
  </si>
  <si>
    <t>Padubidri ESI Disp</t>
  </si>
  <si>
    <t>PRAJANA WOMEN CLINIC PVT HOSPITAL</t>
  </si>
  <si>
    <t>RADHA LAXMI MATERNITY AND GENERAL CLINIC SHIRVA PVT HOSPITAL</t>
  </si>
  <si>
    <t>SHRISTI CLINIC BRAHMAVARA PVT HOSPITAL</t>
  </si>
  <si>
    <t>Udupi ESI Disp</t>
  </si>
  <si>
    <t>UDUPI UPHC</t>
  </si>
  <si>
    <t>VATSALYA CLINIC SANTEKATTE PVT HOSPITAL</t>
  </si>
  <si>
    <t>ADARSHA  PVT HOSPITAL</t>
  </si>
  <si>
    <t>ANUSHA CHILDREN PVT HOSPITAL</t>
  </si>
  <si>
    <t>A.V BALIGA PVT HOSPITAL</t>
  </si>
  <si>
    <t>CHILDRENS PVT HOSPITAL</t>
  </si>
  <si>
    <t>CITY HOSPITAL AND DIAGNOSTIC CENTRE UDUPI Pvt Hospital</t>
  </si>
  <si>
    <t>Cradle kids Pvt Hospital</t>
  </si>
  <si>
    <t>CSI LOMBARD MEMORIAL PVT HOSPITAL</t>
  </si>
  <si>
    <t>DR BALAKRISHNA SHETTY CHILDRENS PVT HOSPITAL</t>
  </si>
  <si>
    <t>DR KRISHNAMURTHY CHILDRENS PVT HOSPITAL</t>
  </si>
  <si>
    <t>Dr.T.M.A Pai  Pvt Hospital</t>
  </si>
  <si>
    <t>GANDHI  PVT HOSPITAL</t>
  </si>
  <si>
    <t>GORETTI  Pvt HOSPITAL</t>
  </si>
  <si>
    <t>HITECH MEDICARE HOSPITAL Pvt Hospital</t>
  </si>
  <si>
    <t>JEEVAN JYOTI  PVT HOSPITAL</t>
  </si>
  <si>
    <t>Kamath Nursing Home Pvt Hospital</t>
  </si>
  <si>
    <t>Kasturba Pvt  Hospital</t>
  </si>
  <si>
    <t>KIDS CARE CHILDRENS PVT HOSPITAL</t>
  </si>
  <si>
    <t>LALITH PVT HOSPITAL</t>
  </si>
  <si>
    <t>MAHESH PVT HOSPITAL</t>
  </si>
  <si>
    <t>Meera PVT HOSPITAL</t>
  </si>
  <si>
    <t>MITRA  PVT HOSPITAL</t>
  </si>
  <si>
    <t>NEW CITY HOSPITAL Pvt Hospital</t>
  </si>
  <si>
    <t>Pranava Pvt  Hospital</t>
  </si>
  <si>
    <t>PRASAD NETHRALAYA PVT HOSPITAL</t>
  </si>
  <si>
    <t>Prashanth Pvt  hospital</t>
  </si>
  <si>
    <t>Roshni Laparoscopy &amp; Infertility Centre  Pvt Hospital</t>
  </si>
  <si>
    <t>SANJEEVINI CHILDRENS PVT HOSPITAL</t>
  </si>
  <si>
    <t>SIDDHI VINAYAK  PVT HOSPITAL</t>
  </si>
  <si>
    <t>SONIACLINIC AND NURSING PVT HOSPITAL</t>
  </si>
  <si>
    <t>SPANDANA CHILDCARE PVT HOSPITAL</t>
  </si>
  <si>
    <t>SRI DHARMASTHALA MANJUNATHESHWARA COLLEGE OF AYURVEDA AND HOSPITAL KUTHPADY UDUPI Pvt Hospital</t>
  </si>
  <si>
    <t>SUNAG ORTHO CARE &amp; MULTISPECIALITY PVT HOSPITAL</t>
  </si>
  <si>
    <t>District Hospital</t>
  </si>
  <si>
    <t>BRS MCH</t>
  </si>
  <si>
    <t>FRU UDUPI DISTRICT HOSPITAL</t>
  </si>
  <si>
    <t>Udupi (GKSSMHA) MCH wing</t>
  </si>
  <si>
    <t>Row Labels</t>
  </si>
  <si>
    <t>Grand Total</t>
  </si>
  <si>
    <t>PW with age &lt;15 years</t>
  </si>
  <si>
    <t>PW with age 15-19 years</t>
  </si>
  <si>
    <t>PW with age &gt;49 years</t>
  </si>
  <si>
    <t>PW having Hb level&lt;=7 g/dl</t>
  </si>
  <si>
    <t>PW treated for severe anaemia (Hb&lt;=7g/dl)</t>
  </si>
  <si>
    <t>PW given Td1 (Tetanus Diptheria dose 1)</t>
  </si>
  <si>
    <t>PW given Td2 (Tetanus Diptheria dose 2)</t>
  </si>
  <si>
    <t>PW given Td Booster (Tetanus Diptheria dose booster)</t>
  </si>
  <si>
    <t>Sub-Taluks</t>
  </si>
  <si>
    <t>PW tested positive for GDM out of total OGTT(Oral Glucose Tolerance Test) conducted</t>
  </si>
  <si>
    <t>PW given Insulin out of total tested positive for GDM</t>
  </si>
  <si>
    <t>PW given Metformin out of total tested positive for GDM</t>
  </si>
  <si>
    <t>Sub-Taluk</t>
  </si>
  <si>
    <t xml:space="preserve">PW with hypertension managed at institution </t>
  </si>
  <si>
    <t>PW having Eclampsia cases managed during delivery</t>
  </si>
  <si>
    <t xml:space="preserve">Total number of NEW Pregnant Women registered for ANC </t>
  </si>
  <si>
    <t xml:space="preserve">PW with hypertension detected </t>
  </si>
  <si>
    <t>PW tested for Haemoglobin (Hb ) 4 or more than 4 times for respective ANCs</t>
  </si>
  <si>
    <t>PW found Seropositive for Syphilis by VDRL/RPR/TPHA/RDT/PoC test</t>
  </si>
  <si>
    <t>Pregnant Women tested positive for Thyroid disorder</t>
  </si>
  <si>
    <t>Pregnant Women identified  with Presumptive TB symptoms</t>
  </si>
  <si>
    <t>PW identified  with Presumptive TB symptoms</t>
  </si>
  <si>
    <t xml:space="preserve">PW referred out of those identified with Presumptive TB symptoms </t>
  </si>
  <si>
    <t xml:space="preserve">HRP Intrapartum </t>
  </si>
  <si>
    <t>HRP Antepartum</t>
  </si>
  <si>
    <t>PW with Sepsis in the facility.</t>
  </si>
  <si>
    <t>PW identified with Eclampsia</t>
  </si>
  <si>
    <t>PW identified with obstructed labour</t>
  </si>
  <si>
    <t>PW with Post-Partum Haemorrhage</t>
  </si>
  <si>
    <t>PW tested positive for GDM out of total OGTT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</si>
</sst>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Calibri"/>
      <family val="2"/>
      <scheme val="minor"/>
    </font>
    <font>
      <b/>
      <sz val="11"/>
      <color theme="1"/>
      <name val="Calibri"/>
      <family val="2"/>
      <scheme val="minor"/>
    </font>
    <font>
      <sz val="11"/>
      <color theme="1"/>
      <name val="Calibri"/>
      <family val="2"/>
      <scheme val="minor"/>
    </font>
    <font>
      <sz val="11"/>
      <color theme="1"/>
      <name val="Lato Black"/>
      <family val="2"/>
    </font>
    <font>
      <sz val="8"/>
      <color theme="1"/>
      <name val="Lato Black"/>
      <family val="2"/>
    </font>
  </fonts>
  <fills count="4">
    <fill>
      <patternFill patternType="none"/>
    </fill>
    <fill>
      <patternFill patternType="gray125"/>
    </fill>
    <fill>
      <patternFill patternType="solid">
        <fgColor theme="1" tint="0.34998626667073579"/>
        <bgColor indexed="64"/>
      </patternFill>
    </fill>
    <fill>
      <patternFill patternType="solid">
        <fgColor rgb="FFFFFF00"/>
        <bgColor indexed="64"/>
      </patternFill>
    </fill>
  </fills>
  <borders count="1">
    <border>
      <left/>
      <right/>
      <top/>
      <bottom/>
      <diagonal/>
    </border>
  </borders>
  <cellStyleXfs count="2">
    <xf numFmtId="0" fontId="0" fillId="0" borderId="0"/>
    <xf numFmtId="9" fontId="2" fillId="0" borderId="0" applyFont="0" applyFill="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Alignment="1">
      <alignment horizontal="left" indent="1"/>
    </xf>
    <xf numFmtId="0" fontId="1" fillId="0" borderId="0" xfId="0" applyFont="1"/>
    <xf numFmtId="9" fontId="0" fillId="0" borderId="0" xfId="1" applyFont="1"/>
    <xf numFmtId="0" fontId="3" fillId="2" borderId="0" xfId="0" applyFont="1" applyFill="1"/>
    <xf numFmtId="0" fontId="0" fillId="2" borderId="0" xfId="0" applyFill="1"/>
    <xf numFmtId="0" fontId="4" fillId="0" borderId="0" xfId="0" applyFont="1"/>
    <xf numFmtId="0" fontId="0" fillId="3" borderId="0" xfId="0" applyFill="1"/>
    <xf numFmtId="0" fontId="0" fillId="0" borderId="0" xfId="0" applyNumberFormat="1"/>
  </cellXfs>
  <cellStyles count="2">
    <cellStyle name="Normal" xfId="0" builtinId="0"/>
    <cellStyle name="Percent" xfId="1" builtinId="5"/>
  </cellStyles>
  <dxfs count="2">
    <dxf>
      <fill>
        <patternFill patternType="none">
          <bgColor auto="1"/>
        </patternFill>
      </fill>
    </dxf>
    <dxf>
      <fill>
        <patternFill patternType="solid">
          <bgColor theme="6" tint="0.79998168889431442"/>
        </patternFill>
      </fill>
    </dxf>
  </dxfs>
  <tableStyles count="3" defaultTableStyle="TableStyleMedium2" defaultPivotStyle="PivotStyleLight16">
    <tableStyle name="Slicer" pivot="0" table="0" count="4" xr9:uid="{A7723214-B78F-498F-A622-C30992602E3D}">
      <tableStyleElement type="wholeTable" dxfId="1"/>
    </tableStyle>
    <tableStyle name="Slicer Style 1" pivot="0" table="0" count="1" xr9:uid="{1B15F6EB-E6C7-4EEE-9386-7E8771277D81}"/>
    <tableStyle name="Slicer2" pivot="0" table="0" count="4" xr9:uid="{A98F5944-E575-4AF8-92BC-792CE9FA17B7}">
      <tableStyleElement type="wholeTable" dxfId="0"/>
    </tableStyle>
  </tableStyles>
  <colors>
    <mruColors>
      <color rgb="FFBAE18F"/>
      <color rgb="FF00DE00"/>
      <color rgb="FF006600"/>
      <color rgb="FF78B832"/>
      <color rgb="FF99FF99"/>
      <color rgb="FF512373"/>
      <color rgb="FFE648CC"/>
      <color rgb="FFFF99FF"/>
      <color rgb="FF660033"/>
      <color rgb="FFCCFF99"/>
    </mruColors>
  </colors>
  <extLst>
    <ext xmlns:x14="http://schemas.microsoft.com/office/spreadsheetml/2009/9/main" uri="{46F421CA-312F-682f-3DD2-61675219B42D}">
      <x14:dxfs count="7">
        <dxf>
          <fill>
            <gradientFill>
              <stop position="0">
                <color theme="1" tint="5.0965910824915313E-2"/>
              </stop>
              <stop position="1">
                <color theme="0" tint="-0.1490218817712943"/>
              </stop>
            </gradientFill>
          </fill>
        </dxf>
        <dxf>
          <font>
            <b val="0"/>
            <i val="0"/>
            <sz val="8"/>
            <color rgb="FF002060"/>
            <name val="Lato Black"/>
            <family val="2"/>
            <scheme val="none"/>
          </font>
          <fill>
            <gradientFill>
              <stop position="0">
                <color rgb="FF006600"/>
              </stop>
              <stop position="1">
                <color rgb="FFCCFF99"/>
              </stop>
            </gradientFill>
          </fill>
        </dxf>
        <dxf>
          <fill>
            <gradientFill>
              <stop position="0">
                <color theme="2" tint="-0.49803155613879818"/>
              </stop>
              <stop position="1">
                <color theme="0" tint="-5.0965910824915313E-2"/>
              </stop>
            </gradientFill>
          </fill>
        </dxf>
        <dxf>
          <font>
            <b val="0"/>
            <i val="0"/>
            <sz val="8"/>
            <name val="Lato Black"/>
            <family val="2"/>
            <scheme val="none"/>
          </font>
          <fill>
            <patternFill>
              <bgColor rgb="FF008000"/>
            </patternFill>
          </fill>
        </dxf>
        <dxf>
          <fill>
            <gradientFill>
              <stop position="0">
                <color theme="1" tint="0.25098422193060094"/>
              </stop>
              <stop position="1">
                <color theme="0" tint="-0.1490218817712943"/>
              </stop>
            </gradientFill>
          </fill>
        </dxf>
        <dxf>
          <font>
            <b val="0"/>
            <i val="0"/>
            <sz val="9"/>
            <color theme="1"/>
            <name val="Lato Black"/>
            <family val="2"/>
            <scheme val="none"/>
          </font>
          <fill>
            <gradientFill>
              <stop position="0">
                <color rgb="FF006600"/>
              </stop>
              <stop position="1">
                <color rgb="FFCCFF99"/>
              </stop>
            </gradientFill>
          </fill>
        </dxf>
        <dxf>
          <fill>
            <gradientFill>
              <stop position="0">
                <color theme="1" tint="0.25098422193060094"/>
              </stop>
              <stop position="1">
                <color theme="0" tint="-0.49803155613879818"/>
              </stop>
            </gradientFill>
          </fill>
        </dxf>
      </x14:dxfs>
    </ext>
    <ext xmlns:x14="http://schemas.microsoft.com/office/spreadsheetml/2009/9/main" uri="{EB79DEF2-80B8-43e5-95BD-54CBDDF9020C}">
      <x14:slicerStyles defaultSlicerStyle="SlicerStyleLight1">
        <x14:slicerStyle name="Slicer">
          <x14:slicerStyleElements>
            <x14:slicerStyleElement type="unselectedItemWithData" dxfId="6"/>
            <x14:slicerStyleElement type="selectedItemWithData" dxfId="5"/>
            <x14:slicerStyleElement type="selectedItemWithNoData" dxfId="4"/>
          </x14:slicerStyleElements>
        </x14:slicerStyle>
        <x14:slicerStyle name="Slicer Style 1">
          <x14:slicerStyleElements>
            <x14:slicerStyleElement type="selectedItemWithData" dxfId="3"/>
          </x14:slicerStyleElements>
        </x14:slicerStyle>
        <x14:slicerStyle name="Slicer2">
          <x14:slicerStyleElements>
            <x14:slicerStyleElement type="unselectedItemWithData" dxfId="2"/>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[ANC_Healthcare_Dashboard.xlsx]PW registered by age!PW registered by age</c:name>
    <c:fmtId val="10"/>
  </c:pivotSource>
  <c:chart>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3253677417475019E-2"/>
          <c:y val="5.1948078509090147E-2"/>
          <c:w val="0.94602205175726728"/>
          <c:h val="0.69475240694001672"/>
        </c:manualLayout>
      </c:layout>
      <c:barChart>
        <c:barDir val="col"/>
        <c:grouping val="clustered"/>
        <c:varyColors val="0"/>
        <c:ser>
          <c:idx val="0"/>
          <c:order val="0"/>
          <c:tx>
            <c:strRef>
              <c:f>'PW registered by age'!$B$1</c:f>
              <c:strCache>
                <c:ptCount val="1"/>
                <c:pt idx="0">
                  <c:v>PW with age &lt;15 years</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age'!$B$2:$B$5</c:f>
              <c:numCache>
                <c:formatCode>General</c:formatCode>
                <c:ptCount val="3"/>
                <c:pt idx="0">
                  <c:v>7</c:v>
                </c:pt>
                <c:pt idx="1">
                  <c:v>0</c:v>
                </c:pt>
                <c:pt idx="2">
                  <c:v>2</c:v>
                </c:pt>
              </c:numCache>
            </c:numRef>
          </c:val>
          <c:extLst>
            <c:ext xmlns:c16="http://schemas.microsoft.com/office/drawing/2014/chart" uri="{C3380CC4-5D6E-409C-BE32-E72D297353CC}">
              <c16:uniqueId val="{00000000-FDCA-4933-8D2B-5E0F561773AC}"/>
            </c:ext>
          </c:extLst>
        </c:ser>
        <c:ser>
          <c:idx val="1"/>
          <c:order val="1"/>
          <c:tx>
            <c:strRef>
              <c:f>'PW registered by age'!$C$1</c:f>
              <c:strCache>
                <c:ptCount val="1"/>
                <c:pt idx="0">
                  <c:v>PW with age 15-19 years</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age'!$C$2:$C$5</c:f>
              <c:numCache>
                <c:formatCode>General</c:formatCode>
                <c:ptCount val="3"/>
                <c:pt idx="0">
                  <c:v>2</c:v>
                </c:pt>
                <c:pt idx="1">
                  <c:v>1</c:v>
                </c:pt>
                <c:pt idx="2">
                  <c:v>5</c:v>
                </c:pt>
              </c:numCache>
            </c:numRef>
          </c:val>
          <c:extLst>
            <c:ext xmlns:c16="http://schemas.microsoft.com/office/drawing/2014/chart" uri="{C3380CC4-5D6E-409C-BE32-E72D297353CC}">
              <c16:uniqueId val="{00000001-FDCA-4933-8D2B-5E0F561773AC}"/>
            </c:ext>
          </c:extLst>
        </c:ser>
        <c:ser>
          <c:idx val="2"/>
          <c:order val="2"/>
          <c:tx>
            <c:strRef>
              <c:f>'PW registered by age'!$D$1</c:f>
              <c:strCache>
                <c:ptCount val="1"/>
                <c:pt idx="0">
                  <c:v>PW with age &gt;49 years</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age'!$D$2:$D$5</c:f>
              <c:numCache>
                <c:formatCode>General</c:formatCode>
                <c:ptCount val="3"/>
                <c:pt idx="0">
                  <c:v>0</c:v>
                </c:pt>
                <c:pt idx="1">
                  <c:v>7</c:v>
                </c:pt>
                <c:pt idx="2">
                  <c:v>4</c:v>
                </c:pt>
              </c:numCache>
            </c:numRef>
          </c:val>
          <c:extLst>
            <c:ext xmlns:c16="http://schemas.microsoft.com/office/drawing/2014/chart" uri="{C3380CC4-5D6E-409C-BE32-E72D297353CC}">
              <c16:uniqueId val="{00000002-FDCA-4933-8D2B-5E0F561773AC}"/>
            </c:ext>
          </c:extLst>
        </c:ser>
        <c:dLbls>
          <c:showLegendKey val="0"/>
          <c:showVal val="1"/>
          <c:showCatName val="0"/>
          <c:showSerName val="0"/>
          <c:showPercent val="0"/>
          <c:showBubbleSize val="0"/>
        </c:dLbls>
        <c:gapWidth val="75"/>
        <c:axId val="1218886927"/>
        <c:axId val="1218886447"/>
      </c:barChart>
      <c:catAx>
        <c:axId val="12188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18886447"/>
        <c:crosses val="autoZero"/>
        <c:auto val="1"/>
        <c:lblAlgn val="ctr"/>
        <c:lblOffset val="100"/>
        <c:noMultiLvlLbl val="0"/>
      </c:catAx>
      <c:valAx>
        <c:axId val="121888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8886927"/>
        <c:crosses val="autoZero"/>
        <c:crossBetween val="between"/>
      </c:valAx>
      <c:spPr>
        <a:noFill/>
        <a:ln>
          <a:noFill/>
        </a:ln>
        <a:effectLst/>
      </c:spPr>
    </c:plotArea>
    <c:legend>
      <c:legendPos val="b"/>
      <c:layout>
        <c:manualLayout>
          <c:xMode val="edge"/>
          <c:yMode val="edge"/>
          <c:x val="9.5142051453156375E-3"/>
          <c:y val="0.83148505144892892"/>
          <c:w val="0.99048573704757048"/>
          <c:h val="0.1605008912671240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230117232808216"/>
          <c:y val="1.4065290479710507E-2"/>
          <c:w val="0.80447435176784454"/>
          <c:h val="0.6179126269938725"/>
        </c:manualLayout>
      </c:layout>
      <c:barChart>
        <c:barDir val="bar"/>
        <c:grouping val="clustered"/>
        <c:varyColors val="0"/>
        <c:ser>
          <c:idx val="0"/>
          <c:order val="0"/>
          <c:tx>
            <c:strRef>
              <c:f>'PW registered by TD'!$B$8</c:f>
              <c:strCache>
                <c:ptCount val="1"/>
                <c:pt idx="0">
                  <c:v>PW given Td1 (Tetanus Diptheria dose 1)</c:v>
                </c:pt>
              </c:strCache>
            </c:strRef>
          </c:tx>
          <c:spPr>
            <a:solidFill>
              <a:srgbClr val="3FBFFF"/>
            </a:solidFill>
            <a:ln>
              <a:noFill/>
            </a:ln>
            <a:effectLst>
              <a:outerShdw blurRad="57150" dist="19050" dir="5400000" algn="ctr" rotWithShape="0">
                <a:srgbClr val="000000">
                  <a:alpha val="63000"/>
                </a:srgbClr>
              </a:outerShdw>
            </a:effectLst>
          </c:spPr>
          <c:invertIfNegative val="0"/>
          <c:dLbls>
            <c:dLbl>
              <c:idx val="0"/>
              <c:layout>
                <c:manualLayout>
                  <c:x val="7.9591811154809206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1CC-4A13-9EBB-2CD56E761524}"/>
                </c:ext>
              </c:extLst>
            </c:dLbl>
            <c:dLbl>
              <c:idx val="1"/>
              <c:layout>
                <c:manualLayout>
                  <c:x val="5.2040799601221294E-2"/>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1CC-4A13-9EBB-2CD56E761524}"/>
                </c:ext>
              </c:extLst>
            </c:dLbl>
            <c:dLbl>
              <c:idx val="2"/>
              <c:layout>
                <c:manualLayout>
                  <c:x val="-4.8979576095267319E-2"/>
                  <c:y val="9.80034292672893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1CC-4A13-9EBB-2CD56E76152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TD'!$B$9:$B$11</c:f>
              <c:numCache>
                <c:formatCode>General</c:formatCode>
                <c:ptCount val="3"/>
                <c:pt idx="0">
                  <c:v>1162</c:v>
                </c:pt>
                <c:pt idx="1">
                  <c:v>2039</c:v>
                </c:pt>
                <c:pt idx="2">
                  <c:v>4079</c:v>
                </c:pt>
              </c:numCache>
            </c:numRef>
          </c:val>
          <c:extLst>
            <c:ext xmlns:c16="http://schemas.microsoft.com/office/drawing/2014/chart" uri="{C3380CC4-5D6E-409C-BE32-E72D297353CC}">
              <c16:uniqueId val="{00000000-01CC-4A13-9EBB-2CD56E761524}"/>
            </c:ext>
          </c:extLst>
        </c:ser>
        <c:ser>
          <c:idx val="1"/>
          <c:order val="1"/>
          <c:tx>
            <c:strRef>
              <c:f>'PW registered by TD'!$C$8</c:f>
              <c:strCache>
                <c:ptCount val="1"/>
                <c:pt idx="0">
                  <c:v>PW given Td2 (Tetanus Diptheria dose 2)</c:v>
                </c:pt>
              </c:strCache>
            </c:strRef>
          </c:tx>
          <c:spPr>
            <a:solidFill>
              <a:srgbClr val="CE364F"/>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TD'!$C$9:$C$11</c:f>
              <c:numCache>
                <c:formatCode>General</c:formatCode>
                <c:ptCount val="3"/>
                <c:pt idx="0">
                  <c:v>1050</c:v>
                </c:pt>
                <c:pt idx="1">
                  <c:v>1852</c:v>
                </c:pt>
                <c:pt idx="2">
                  <c:v>3372</c:v>
                </c:pt>
              </c:numCache>
            </c:numRef>
          </c:val>
          <c:extLst>
            <c:ext xmlns:c16="http://schemas.microsoft.com/office/drawing/2014/chart" uri="{C3380CC4-5D6E-409C-BE32-E72D297353CC}">
              <c16:uniqueId val="{00000001-01CC-4A13-9EBB-2CD56E761524}"/>
            </c:ext>
          </c:extLst>
        </c:ser>
        <c:ser>
          <c:idx val="2"/>
          <c:order val="2"/>
          <c:tx>
            <c:strRef>
              <c:f>'PW registered by TD'!$D$8</c:f>
              <c:strCache>
                <c:ptCount val="1"/>
                <c:pt idx="0">
                  <c:v>PW given Td Booster (Tetanus Diptheria dose booster)</c:v>
                </c:pt>
              </c:strCache>
            </c:strRef>
          </c:tx>
          <c:spPr>
            <a:solidFill>
              <a:srgbClr val="000066"/>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TD'!$D$9:$D$11</c:f>
              <c:numCache>
                <c:formatCode>General</c:formatCode>
                <c:ptCount val="3"/>
                <c:pt idx="0">
                  <c:v>144</c:v>
                </c:pt>
                <c:pt idx="1">
                  <c:v>301</c:v>
                </c:pt>
                <c:pt idx="2">
                  <c:v>1328</c:v>
                </c:pt>
              </c:numCache>
            </c:numRef>
          </c:val>
          <c:extLst>
            <c:ext xmlns:c16="http://schemas.microsoft.com/office/drawing/2014/chart" uri="{C3380CC4-5D6E-409C-BE32-E72D297353CC}">
              <c16:uniqueId val="{00000002-01CC-4A13-9EBB-2CD56E761524}"/>
            </c:ext>
          </c:extLst>
        </c:ser>
        <c:dLbls>
          <c:dLblPos val="outEnd"/>
          <c:showLegendKey val="0"/>
          <c:showVal val="1"/>
          <c:showCatName val="0"/>
          <c:showSerName val="0"/>
          <c:showPercent val="0"/>
          <c:showBubbleSize val="0"/>
        </c:dLbls>
        <c:gapWidth val="115"/>
        <c:overlap val="-20"/>
        <c:axId val="1209584655"/>
        <c:axId val="1209581775"/>
      </c:barChart>
      <c:catAx>
        <c:axId val="12095846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09581775"/>
        <c:crosses val="autoZero"/>
        <c:auto val="1"/>
        <c:lblAlgn val="ctr"/>
        <c:lblOffset val="100"/>
        <c:noMultiLvlLbl val="0"/>
      </c:catAx>
      <c:valAx>
        <c:axId val="1209581775"/>
        <c:scaling>
          <c:orientation val="minMax"/>
          <c:max val="41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Lato Black" panose="020F0A02020204030203" pitchFamily="34" charset="0"/>
                <a:ea typeface="+mn-ea"/>
                <a:cs typeface="+mn-cs"/>
              </a:defRPr>
            </a:pPr>
            <a:endParaRPr lang="en-US"/>
          </a:p>
        </c:txPr>
        <c:crossAx val="1209584655"/>
        <c:crosses val="autoZero"/>
        <c:crossBetween val="between"/>
        <c:majorUnit val="500"/>
      </c:valAx>
      <c:spPr>
        <a:noFill/>
        <a:ln>
          <a:noFill/>
        </a:ln>
        <a:effectLst/>
      </c:spPr>
    </c:plotArea>
    <c:legend>
      <c:legendPos val="b"/>
      <c:layout>
        <c:manualLayout>
          <c:xMode val="edge"/>
          <c:yMode val="edge"/>
          <c:x val="1.4755097298699246E-2"/>
          <c:y val="0.73044004178655864"/>
          <c:w val="0.95518392891405146"/>
          <c:h val="0.26712753958235952"/>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[ANC_Healthcare_Dashboard.xlsx]Hypertension!Total Hypertension2</c:name>
    <c:fmtId val="10"/>
  </c:pivotSource>
  <c:chart>
    <c:autoTitleDeleted val="1"/>
    <c:pivotFmts>
      <c:pivotFmt>
        <c:idx val="0"/>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rgbClr val="F7353A"/>
            </a:solidFill>
            <a:round/>
          </a:ln>
          <a:effectLst/>
        </c:spPr>
        <c:marker>
          <c:symbol val="circle"/>
          <c:size val="17"/>
          <c:spPr>
            <a:solidFill>
              <a:srgbClr val="F7353A"/>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5.016666666666666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3.3499999999999898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31750" cap="rnd" cmpd="sng" algn="ctr">
            <a:solidFill>
              <a:srgbClr val="F7353A"/>
            </a:solidFill>
            <a:round/>
          </a:ln>
          <a:effectLst/>
        </c:spPr>
        <c:marker>
          <c:symbol val="circle"/>
          <c:size val="17"/>
          <c:spPr>
            <a:solidFill>
              <a:srgbClr val="F7353A"/>
            </a:solidFill>
            <a:ln>
              <a:noFill/>
            </a:ln>
            <a:effectLst/>
          </c:spPr>
        </c:marker>
        <c:dLbl>
          <c:idx val="0"/>
          <c:layout>
            <c:manualLayout>
              <c:x val="-5.29444444444444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31750" cap="rnd" cmpd="sng" algn="ctr">
            <a:solidFill>
              <a:srgbClr val="F7353A"/>
            </a:solidFill>
            <a:round/>
          </a:ln>
          <a:effectLst/>
        </c:spPr>
        <c:marker>
          <c:symbol val="circle"/>
          <c:size val="17"/>
          <c:spPr>
            <a:solidFill>
              <a:srgbClr val="F7353A"/>
            </a:solidFill>
            <a:ln>
              <a:noFill/>
            </a:ln>
            <a:effectLst/>
          </c:spPr>
        </c:marker>
        <c:dLbl>
          <c:idx val="0"/>
          <c:layout>
            <c:manualLayout>
              <c:x val="-4.383333333333333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6.9611111111111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0.1287222222222222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5.2944444444444447E-2"/>
              <c:y val="-6.481481481481481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5.016666666666666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5.5722222222222222E-2"/>
              <c:y val="-6.018518518518527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6.961111111111111E-2"/>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0.1287222222222222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31750" cap="rnd" cmpd="sng" algn="ctr">
            <a:solidFill>
              <a:srgbClr val="8E5A14"/>
            </a:solidFill>
            <a:round/>
          </a:ln>
          <a:effectLst/>
        </c:spPr>
        <c:marker>
          <c:symbol val="circle"/>
          <c:size val="17"/>
          <c:spPr>
            <a:solidFill>
              <a:srgbClr val="8E5A14"/>
            </a:solidFill>
            <a:ln>
              <a:noFill/>
            </a:ln>
            <a:effectLst/>
          </c:spPr>
        </c:marker>
        <c:dLbl>
          <c:idx val="0"/>
          <c:layout>
            <c:manualLayout>
              <c:x val="-3.3499999999999898E-2"/>
              <c:y val="-7.8703703703703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31750" cap="rnd" cmpd="sng" algn="ctr">
            <a:solidFill>
              <a:srgbClr val="F7353A"/>
            </a:solidFill>
            <a:round/>
          </a:ln>
          <a:effectLst/>
        </c:spPr>
        <c:marker>
          <c:symbol val="circle"/>
          <c:size val="17"/>
          <c:spPr>
            <a:solidFill>
              <a:srgbClr val="F7353A"/>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31750" cap="rnd" cmpd="sng" algn="ctr">
            <a:solidFill>
              <a:srgbClr val="F7353A"/>
            </a:solidFill>
            <a:round/>
          </a:ln>
          <a:effectLst/>
        </c:spPr>
        <c:marker>
          <c:symbol val="circle"/>
          <c:size val="17"/>
          <c:spPr>
            <a:solidFill>
              <a:srgbClr val="F7353A"/>
            </a:solidFill>
            <a:ln>
              <a:noFill/>
            </a:ln>
            <a:effectLst/>
          </c:spPr>
        </c:marker>
        <c:dLbl>
          <c:idx val="0"/>
          <c:layout>
            <c:manualLayout>
              <c:x val="-4.383333333333333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rgbClr val="8E5A14"/>
            </a:solidFill>
            <a:round/>
          </a:ln>
          <a:effectLst/>
        </c:spPr>
        <c:marker>
          <c:symbol val="circle"/>
          <c:size val="17"/>
          <c:spPr>
            <a:solidFill>
              <a:srgbClr val="8E5A1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rgbClr val="8E5A14"/>
            </a:solidFill>
            <a:round/>
          </a:ln>
          <a:effectLst/>
        </c:spPr>
        <c:marker>
          <c:symbol val="circle"/>
          <c:size val="17"/>
          <c:spPr>
            <a:solidFill>
              <a:srgbClr val="8E5A14"/>
            </a:solidFill>
            <a:ln>
              <a:noFill/>
            </a:ln>
            <a:effectLst/>
          </c:spPr>
        </c:marker>
        <c:dLbl>
          <c:idx val="0"/>
          <c:layout>
            <c:manualLayout>
              <c:x val="-7.8870224555263949E-2"/>
              <c:y val="-9.07889818943562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rgbClr val="8E5A14"/>
            </a:solidFill>
            <a:round/>
          </a:ln>
          <a:effectLst/>
        </c:spPr>
        <c:marker>
          <c:symbol val="circle"/>
          <c:size val="17"/>
          <c:spPr>
            <a:solidFill>
              <a:srgbClr val="8E5A14"/>
            </a:solidFill>
            <a:ln>
              <a:noFill/>
            </a:ln>
            <a:effectLst/>
          </c:spPr>
        </c:marker>
        <c:dLbl>
          <c:idx val="0"/>
          <c:layout>
            <c:manualLayout>
              <c:x val="-7.9796150481189848E-2"/>
              <c:y val="-0.11303513295589168"/>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1750" cap="rnd">
            <a:solidFill>
              <a:srgbClr val="8E5A14"/>
            </a:solidFill>
            <a:round/>
          </a:ln>
          <a:effectLst/>
        </c:spPr>
        <c:marker>
          <c:symbol val="circle"/>
          <c:size val="17"/>
          <c:spPr>
            <a:solidFill>
              <a:srgbClr val="8E5A14"/>
            </a:solidFill>
            <a:ln>
              <a:noFill/>
            </a:ln>
            <a:effectLst/>
          </c:spPr>
        </c:marker>
        <c:dLbl>
          <c:idx val="0"/>
          <c:layout>
            <c:manualLayout>
              <c:x val="-7.0536891221930589E-2"/>
              <c:y val="-7.966565071359582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1750" cap="rnd">
            <a:solidFill>
              <a:srgbClr val="8E5A14"/>
            </a:solidFill>
            <a:round/>
          </a:ln>
          <a:effectLst/>
        </c:spPr>
        <c:marker>
          <c:symbol val="circle"/>
          <c:size val="17"/>
          <c:spPr>
            <a:solidFill>
              <a:srgbClr val="8E5A14"/>
            </a:solidFill>
            <a:ln>
              <a:noFill/>
            </a:ln>
            <a:effectLst/>
          </c:spPr>
        </c:marker>
        <c:dLbl>
          <c:idx val="0"/>
          <c:layout>
            <c:manualLayout>
              <c:x val="-8.4425780110819554E-2"/>
              <c:y val="-9.541829196149502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1750" cap="rnd">
            <a:solidFill>
              <a:srgbClr val="8E5A14"/>
            </a:solidFill>
            <a:round/>
          </a:ln>
          <a:effectLst/>
        </c:spPr>
        <c:marker>
          <c:symbol val="circle"/>
          <c:size val="17"/>
          <c:spPr>
            <a:solidFill>
              <a:srgbClr val="8E5A14"/>
            </a:solidFill>
            <a:ln>
              <a:noFill/>
            </a:ln>
            <a:effectLst/>
          </c:spPr>
        </c:marker>
        <c:dLbl>
          <c:idx val="0"/>
          <c:layout>
            <c:manualLayout>
              <c:x val="-0.16575911344415281"/>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31750" cap="rnd">
            <a:solidFill>
              <a:srgbClr val="8E5A14"/>
            </a:solidFill>
            <a:round/>
          </a:ln>
          <a:effectLst/>
        </c:spPr>
        <c:marker>
          <c:symbol val="circle"/>
          <c:size val="17"/>
          <c:spPr>
            <a:solidFill>
              <a:srgbClr val="8E5A14"/>
            </a:solidFill>
            <a:ln>
              <a:noFill/>
            </a:ln>
            <a:effectLst/>
          </c:spPr>
        </c:marker>
        <c:dLbl>
          <c:idx val="0"/>
          <c:layout>
            <c:manualLayout>
              <c:x val="-5.5722076407115774E-2"/>
              <c:y val="-9.1690915068470741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4"/>
        <c:spPr>
          <a:ln w="31750" cap="rnd">
            <a:solidFill>
              <a:srgbClr val="F7353A"/>
            </a:solidFill>
            <a:round/>
          </a:ln>
          <a:effectLst/>
        </c:spPr>
        <c:marker>
          <c:symbol val="circle"/>
          <c:size val="17"/>
          <c:spPr>
            <a:solidFill>
              <a:srgbClr val="F7353A"/>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ln w="31750" cap="rnd">
            <a:solidFill>
              <a:srgbClr val="F7353A"/>
            </a:solidFill>
            <a:round/>
          </a:ln>
          <a:effectLst/>
        </c:spPr>
        <c:marker>
          <c:symbol val="circle"/>
          <c:size val="17"/>
          <c:spPr>
            <a:solidFill>
              <a:srgbClr val="F7353A"/>
            </a:solidFill>
            <a:ln>
              <a:noFill/>
            </a:ln>
            <a:effectLst/>
          </c:spPr>
        </c:marker>
        <c:dLbl>
          <c:idx val="0"/>
          <c:layout>
            <c:manualLayout>
              <c:x val="-4.383333333333333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271507728200642E-2"/>
          <c:y val="2.7272741217272328E-2"/>
          <c:w val="0.86598775153105867"/>
          <c:h val="0.54485978439414895"/>
        </c:manualLayout>
      </c:layout>
      <c:lineChart>
        <c:grouping val="standard"/>
        <c:varyColors val="0"/>
        <c:ser>
          <c:idx val="0"/>
          <c:order val="0"/>
          <c:tx>
            <c:strRef>
              <c:f>Hypertension!$B$16</c:f>
              <c:strCache>
                <c:ptCount val="1"/>
                <c:pt idx="0">
                  <c:v>PW with hypertension managed at institution </c:v>
                </c:pt>
              </c:strCache>
            </c:strRef>
          </c:tx>
          <c:spPr>
            <a:ln w="31750" cap="rnd">
              <a:solidFill>
                <a:srgbClr val="8E5A14"/>
              </a:solidFill>
              <a:round/>
            </a:ln>
            <a:effectLst/>
          </c:spPr>
          <c:marker>
            <c:symbol val="circle"/>
            <c:size val="17"/>
            <c:spPr>
              <a:solidFill>
                <a:srgbClr val="8E5A14"/>
              </a:solidFill>
              <a:ln>
                <a:noFill/>
              </a:ln>
              <a:effectLst/>
            </c:spPr>
          </c:marker>
          <c:dPt>
            <c:idx val="0"/>
            <c:marker>
              <c:symbol val="circle"/>
              <c:size val="17"/>
              <c:spPr>
                <a:solidFill>
                  <a:srgbClr val="8E5A14"/>
                </a:solidFill>
                <a:ln>
                  <a:noFill/>
                </a:ln>
                <a:effectLst/>
              </c:spPr>
            </c:marker>
            <c:bubble3D val="0"/>
            <c:spPr>
              <a:ln w="31750" cap="rnd">
                <a:solidFill>
                  <a:srgbClr val="8E5A14"/>
                </a:solidFill>
                <a:round/>
              </a:ln>
              <a:effectLst/>
            </c:spPr>
            <c:extLst>
              <c:ext xmlns:c16="http://schemas.microsoft.com/office/drawing/2014/chart" uri="{C3380CC4-5D6E-409C-BE32-E72D297353CC}">
                <c16:uniqueId val="{00000000-97A8-44CA-B242-21624B897ECF}"/>
              </c:ext>
            </c:extLst>
          </c:dPt>
          <c:dPt>
            <c:idx val="1"/>
            <c:marker>
              <c:symbol val="circle"/>
              <c:size val="17"/>
              <c:spPr>
                <a:solidFill>
                  <a:srgbClr val="8E5A14"/>
                </a:solidFill>
                <a:ln>
                  <a:noFill/>
                </a:ln>
                <a:effectLst/>
              </c:spPr>
            </c:marker>
            <c:bubble3D val="0"/>
            <c:spPr>
              <a:ln w="31750" cap="rnd">
                <a:solidFill>
                  <a:srgbClr val="8E5A14"/>
                </a:solidFill>
                <a:round/>
              </a:ln>
              <a:effectLst/>
            </c:spPr>
            <c:extLst>
              <c:ext xmlns:c16="http://schemas.microsoft.com/office/drawing/2014/chart" uri="{C3380CC4-5D6E-409C-BE32-E72D297353CC}">
                <c16:uniqueId val="{00000001-97A8-44CA-B242-21624B897ECF}"/>
              </c:ext>
            </c:extLst>
          </c:dPt>
          <c:dPt>
            <c:idx val="2"/>
            <c:marker>
              <c:symbol val="circle"/>
              <c:size val="17"/>
              <c:spPr>
                <a:solidFill>
                  <a:srgbClr val="8E5A14"/>
                </a:solidFill>
                <a:ln>
                  <a:noFill/>
                </a:ln>
                <a:effectLst/>
              </c:spPr>
            </c:marker>
            <c:bubble3D val="0"/>
            <c:extLst>
              <c:ext xmlns:c16="http://schemas.microsoft.com/office/drawing/2014/chart" uri="{C3380CC4-5D6E-409C-BE32-E72D297353CC}">
                <c16:uniqueId val="{00000002-97A8-44CA-B242-21624B897ECF}"/>
              </c:ext>
            </c:extLst>
          </c:dPt>
          <c:dPt>
            <c:idx val="3"/>
            <c:marker>
              <c:symbol val="circle"/>
              <c:size val="17"/>
              <c:spPr>
                <a:solidFill>
                  <a:srgbClr val="8E5A14"/>
                </a:solidFill>
                <a:ln>
                  <a:noFill/>
                </a:ln>
                <a:effectLst/>
              </c:spPr>
            </c:marker>
            <c:bubble3D val="0"/>
            <c:extLst>
              <c:ext xmlns:c16="http://schemas.microsoft.com/office/drawing/2014/chart" uri="{C3380CC4-5D6E-409C-BE32-E72D297353CC}">
                <c16:uniqueId val="{00000003-97A8-44CA-B242-21624B897ECF}"/>
              </c:ext>
            </c:extLst>
          </c:dPt>
          <c:dPt>
            <c:idx val="4"/>
            <c:marker>
              <c:symbol val="circle"/>
              <c:size val="17"/>
              <c:spPr>
                <a:solidFill>
                  <a:srgbClr val="8E5A14"/>
                </a:solidFill>
                <a:ln>
                  <a:noFill/>
                </a:ln>
                <a:effectLst/>
              </c:spPr>
            </c:marker>
            <c:bubble3D val="0"/>
            <c:extLst>
              <c:ext xmlns:c16="http://schemas.microsoft.com/office/drawing/2014/chart" uri="{C3380CC4-5D6E-409C-BE32-E72D297353CC}">
                <c16:uniqueId val="{00000004-97A8-44CA-B242-21624B897ECF}"/>
              </c:ext>
            </c:extLst>
          </c:dPt>
          <c:dPt>
            <c:idx val="5"/>
            <c:marker>
              <c:symbol val="circle"/>
              <c:size val="17"/>
              <c:spPr>
                <a:solidFill>
                  <a:srgbClr val="8E5A14"/>
                </a:solidFill>
                <a:ln>
                  <a:noFill/>
                </a:ln>
                <a:effectLst/>
              </c:spPr>
            </c:marker>
            <c:bubble3D val="0"/>
            <c:extLst>
              <c:ext xmlns:c16="http://schemas.microsoft.com/office/drawing/2014/chart" uri="{C3380CC4-5D6E-409C-BE32-E72D297353CC}">
                <c16:uniqueId val="{00000005-97A8-44CA-B242-21624B897ECF}"/>
              </c:ext>
            </c:extLst>
          </c:dPt>
          <c:dLbls>
            <c:dLbl>
              <c:idx val="0"/>
              <c:layout>
                <c:manualLayout>
                  <c:x val="-7.8870224555263949E-2"/>
                  <c:y val="-9.078898189435621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7A8-44CA-B242-21624B897ECF}"/>
                </c:ext>
              </c:extLst>
            </c:dLbl>
            <c:dLbl>
              <c:idx val="1"/>
              <c:layout>
                <c:manualLayout>
                  <c:x val="-7.9796150481189848E-2"/>
                  <c:y val="-0.1130351329558916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7A8-44CA-B242-21624B897ECF}"/>
                </c:ext>
              </c:extLst>
            </c:dLbl>
            <c:dLbl>
              <c:idx val="2"/>
              <c:layout>
                <c:manualLayout>
                  <c:x val="-7.0536891221930589E-2"/>
                  <c:y val="-7.966565071359582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7A8-44CA-B242-21624B897ECF}"/>
                </c:ext>
              </c:extLst>
            </c:dLbl>
            <c:dLbl>
              <c:idx val="3"/>
              <c:layout>
                <c:manualLayout>
                  <c:x val="-8.4425780110819554E-2"/>
                  <c:y val="-9.541829196149502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7A8-44CA-B242-21624B897ECF}"/>
                </c:ext>
              </c:extLst>
            </c:dLbl>
            <c:dLbl>
              <c:idx val="4"/>
              <c:layout>
                <c:manualLayout>
                  <c:x val="-0.16575911344415281"/>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7A8-44CA-B242-21624B897ECF}"/>
                </c:ext>
              </c:extLst>
            </c:dLbl>
            <c:dLbl>
              <c:idx val="5"/>
              <c:layout>
                <c:manualLayout>
                  <c:x val="-5.5722076407115774E-2"/>
                  <c:y val="-9.169091506847074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7A8-44CA-B242-21624B897E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Hypertension!$A$17:$A$26</c:f>
              <c:multiLvlStrCache>
                <c:ptCount val="6"/>
                <c:lvl>
                  <c:pt idx="0">
                    <c:v>Private</c:v>
                  </c:pt>
                  <c:pt idx="1">
                    <c:v>Public</c:v>
                  </c:pt>
                  <c:pt idx="2">
                    <c:v>Private</c:v>
                  </c:pt>
                  <c:pt idx="3">
                    <c:v>Public</c:v>
                  </c:pt>
                  <c:pt idx="4">
                    <c:v>Private</c:v>
                  </c:pt>
                  <c:pt idx="5">
                    <c:v>Public</c:v>
                  </c:pt>
                </c:lvl>
                <c:lvl>
                  <c:pt idx="0">
                    <c:v>Karkal</c:v>
                  </c:pt>
                  <c:pt idx="2">
                    <c:v>Kundapura</c:v>
                  </c:pt>
                  <c:pt idx="4">
                    <c:v>Udupi</c:v>
                  </c:pt>
                </c:lvl>
              </c:multiLvlStrCache>
            </c:multiLvlStrRef>
          </c:cat>
          <c:val>
            <c:numRef>
              <c:f>Hypertension!$B$17:$B$26</c:f>
              <c:numCache>
                <c:formatCode>General</c:formatCode>
                <c:ptCount val="6"/>
                <c:pt idx="0">
                  <c:v>17</c:v>
                </c:pt>
                <c:pt idx="1">
                  <c:v>16</c:v>
                </c:pt>
                <c:pt idx="2">
                  <c:v>66</c:v>
                </c:pt>
                <c:pt idx="3">
                  <c:v>48</c:v>
                </c:pt>
                <c:pt idx="4">
                  <c:v>500</c:v>
                </c:pt>
                <c:pt idx="5">
                  <c:v>18</c:v>
                </c:pt>
              </c:numCache>
            </c:numRef>
          </c:val>
          <c:smooth val="0"/>
          <c:extLst>
            <c:ext xmlns:c16="http://schemas.microsoft.com/office/drawing/2014/chart" uri="{C3380CC4-5D6E-409C-BE32-E72D297353CC}">
              <c16:uniqueId val="{00000006-97A8-44CA-B242-21624B897ECF}"/>
            </c:ext>
          </c:extLst>
        </c:ser>
        <c:ser>
          <c:idx val="1"/>
          <c:order val="1"/>
          <c:tx>
            <c:strRef>
              <c:f>Hypertension!$C$16</c:f>
              <c:strCache>
                <c:ptCount val="1"/>
                <c:pt idx="0">
                  <c:v>PW having Eclampsia cases managed during delivery</c:v>
                </c:pt>
              </c:strCache>
            </c:strRef>
          </c:tx>
          <c:spPr>
            <a:ln w="31750" cap="rnd">
              <a:solidFill>
                <a:srgbClr val="F7353A"/>
              </a:solidFill>
              <a:round/>
            </a:ln>
            <a:effectLst/>
          </c:spPr>
          <c:marker>
            <c:symbol val="circle"/>
            <c:size val="17"/>
            <c:spPr>
              <a:solidFill>
                <a:srgbClr val="F7353A"/>
              </a:solidFill>
              <a:ln>
                <a:noFill/>
              </a:ln>
              <a:effectLst/>
            </c:spPr>
          </c:marker>
          <c:dPt>
            <c:idx val="1"/>
            <c:marker>
              <c:symbol val="circle"/>
              <c:size val="17"/>
              <c:spPr>
                <a:solidFill>
                  <a:srgbClr val="F7353A"/>
                </a:solidFill>
                <a:ln>
                  <a:noFill/>
                </a:ln>
                <a:effectLst/>
              </c:spPr>
            </c:marker>
            <c:bubble3D val="0"/>
            <c:spPr>
              <a:ln w="31750" cap="rnd">
                <a:solidFill>
                  <a:srgbClr val="F7353A"/>
                </a:solidFill>
                <a:round/>
              </a:ln>
              <a:effectLst/>
            </c:spPr>
            <c:extLst>
              <c:ext xmlns:c16="http://schemas.microsoft.com/office/drawing/2014/chart" uri="{C3380CC4-5D6E-409C-BE32-E72D297353CC}">
                <c16:uniqueId val="{00000007-97A8-44CA-B242-21624B897ECF}"/>
              </c:ext>
            </c:extLst>
          </c:dPt>
          <c:dLbls>
            <c:dLbl>
              <c:idx val="1"/>
              <c:layout>
                <c:manualLayout>
                  <c:x val="-4.3833333333333335E-2"/>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7A8-44CA-B242-21624B897EC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Hypertension!$A$17:$A$26</c:f>
              <c:multiLvlStrCache>
                <c:ptCount val="6"/>
                <c:lvl>
                  <c:pt idx="0">
                    <c:v>Private</c:v>
                  </c:pt>
                  <c:pt idx="1">
                    <c:v>Public</c:v>
                  </c:pt>
                  <c:pt idx="2">
                    <c:v>Private</c:v>
                  </c:pt>
                  <c:pt idx="3">
                    <c:v>Public</c:v>
                  </c:pt>
                  <c:pt idx="4">
                    <c:v>Private</c:v>
                  </c:pt>
                  <c:pt idx="5">
                    <c:v>Public</c:v>
                  </c:pt>
                </c:lvl>
                <c:lvl>
                  <c:pt idx="0">
                    <c:v>Karkal</c:v>
                  </c:pt>
                  <c:pt idx="2">
                    <c:v>Kundapura</c:v>
                  </c:pt>
                  <c:pt idx="4">
                    <c:v>Udupi</c:v>
                  </c:pt>
                </c:lvl>
              </c:multiLvlStrCache>
            </c:multiLvlStrRef>
          </c:cat>
          <c:val>
            <c:numRef>
              <c:f>Hypertension!$C$17:$C$26</c:f>
              <c:numCache>
                <c:formatCode>General</c:formatCode>
                <c:ptCount val="6"/>
                <c:pt idx="0">
                  <c:v>1</c:v>
                </c:pt>
                <c:pt idx="1">
                  <c:v>2</c:v>
                </c:pt>
                <c:pt idx="2">
                  <c:v>2</c:v>
                </c:pt>
                <c:pt idx="3">
                  <c:v>0</c:v>
                </c:pt>
                <c:pt idx="4">
                  <c:v>24</c:v>
                </c:pt>
                <c:pt idx="5">
                  <c:v>0</c:v>
                </c:pt>
              </c:numCache>
            </c:numRef>
          </c:val>
          <c:smooth val="0"/>
          <c:extLst>
            <c:ext xmlns:c16="http://schemas.microsoft.com/office/drawing/2014/chart" uri="{C3380CC4-5D6E-409C-BE32-E72D297353CC}">
              <c16:uniqueId val="{00000008-97A8-44CA-B242-21624B897ECF}"/>
            </c:ext>
          </c:extLst>
        </c:ser>
        <c:dLbls>
          <c:dLblPos val="ctr"/>
          <c:showLegendKey val="0"/>
          <c:showVal val="1"/>
          <c:showCatName val="0"/>
          <c:showSerName val="0"/>
          <c:showPercent val="0"/>
          <c:showBubbleSize val="0"/>
        </c:dLbls>
        <c:hiLowLines>
          <c:spPr>
            <a:ln w="9525">
              <a:solidFill>
                <a:schemeClr val="dk1">
                  <a:lumMod val="35000"/>
                  <a:lumOff val="65000"/>
                </a:schemeClr>
              </a:solidFill>
              <a:prstDash val="dash"/>
            </a:ln>
            <a:effectLst/>
          </c:spPr>
        </c:hiLowLines>
        <c:marker val="1"/>
        <c:smooth val="0"/>
        <c:axId val="632401407"/>
        <c:axId val="632418207"/>
      </c:lineChart>
      <c:catAx>
        <c:axId val="632401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700" b="0" i="0" u="none" strike="noStrike" kern="1200" cap="all" baseline="0">
                <a:solidFill>
                  <a:sysClr val="windowText" lastClr="000000"/>
                </a:solidFill>
                <a:latin typeface="Lato Black" panose="020F0A02020204030203" pitchFamily="34" charset="0"/>
                <a:ea typeface="+mn-ea"/>
                <a:cs typeface="+mn-cs"/>
              </a:defRPr>
            </a:pPr>
            <a:endParaRPr lang="en-US"/>
          </a:p>
        </c:txPr>
        <c:crossAx val="632418207"/>
        <c:crosses val="autoZero"/>
        <c:auto val="1"/>
        <c:lblAlgn val="ctr"/>
        <c:lblOffset val="100"/>
        <c:noMultiLvlLbl val="0"/>
      </c:catAx>
      <c:valAx>
        <c:axId val="632418207"/>
        <c:scaling>
          <c:orientation val="minMax"/>
          <c:max val="520"/>
          <c:min val="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700" b="0" i="0" u="none" strike="noStrike" kern="1200" baseline="0">
                <a:solidFill>
                  <a:sysClr val="windowText" lastClr="000000"/>
                </a:solidFill>
                <a:latin typeface="Lato Black" panose="020F0A02020204030203" pitchFamily="34" charset="0"/>
                <a:ea typeface="+mn-ea"/>
                <a:cs typeface="+mn-cs"/>
              </a:defRPr>
            </a:pPr>
            <a:endParaRPr lang="en-US"/>
          </a:p>
        </c:txPr>
        <c:crossAx val="632401407"/>
        <c:crosses val="autoZero"/>
        <c:crossBetween val="between"/>
        <c:majorUnit val="100"/>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mn-cs"/>
              </a:defRPr>
            </a:pPr>
            <a:r>
              <a:rPr lang="en-IN" sz="900">
                <a:solidFill>
                  <a:sysClr val="windowText" lastClr="000000"/>
                </a:solidFill>
                <a:latin typeface="Lato Black" panose="020F0A02020204030203" pitchFamily="34" charset="0"/>
              </a:rPr>
              <a:t>Antepartum</a:t>
            </a:r>
          </a:p>
        </c:rich>
      </c:tx>
      <c:layout>
        <c:manualLayout>
          <c:xMode val="edge"/>
          <c:yMode val="edge"/>
          <c:x val="0.36463531873559524"/>
          <c:y val="3.896103896103896E-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lotArea>
      <c:layout>
        <c:manualLayout>
          <c:layoutTarget val="inner"/>
          <c:xMode val="edge"/>
          <c:yMode val="edge"/>
          <c:x val="0.25620104226751866"/>
          <c:y val="0.34546068105123218"/>
          <c:w val="0.56664937047004871"/>
          <c:h val="0.5678498038670079"/>
        </c:manualLayout>
      </c:layout>
      <c:doughnutChart>
        <c:varyColors val="1"/>
        <c:ser>
          <c:idx val="0"/>
          <c:order val="0"/>
          <c:dPt>
            <c:idx val="0"/>
            <c:bubble3D val="0"/>
            <c:explosion val="5"/>
            <c:spPr>
              <a:gradFill>
                <a:gsLst>
                  <a:gs pos="0">
                    <a:srgbClr val="3EDADA"/>
                  </a:gs>
                  <a:gs pos="100000">
                    <a:srgbClr val="0070C0"/>
                  </a:gs>
                </a:gsLst>
                <a:lin ang="10800000" scaled="0"/>
              </a:gradFill>
              <a:ln w="19050">
                <a:solidFill>
                  <a:schemeClr val="lt1"/>
                </a:solidFill>
              </a:ln>
              <a:effectLst/>
            </c:spPr>
            <c:extLst>
              <c:ext xmlns:c16="http://schemas.microsoft.com/office/drawing/2014/chart" uri="{C3380CC4-5D6E-409C-BE32-E72D297353CC}">
                <c16:uniqueId val="{00000001-C92A-4106-B1F9-A0232C89D3BB}"/>
              </c:ext>
            </c:extLst>
          </c:dPt>
          <c:dPt>
            <c:idx val="1"/>
            <c:bubble3D val="0"/>
            <c:spPr>
              <a:gradFill>
                <a:gsLst>
                  <a:gs pos="0">
                    <a:srgbClr val="FFC000"/>
                  </a:gs>
                  <a:gs pos="100000">
                    <a:srgbClr val="EB5307"/>
                  </a:gs>
                </a:gsLst>
                <a:lin ang="10800000" scaled="0"/>
              </a:gradFill>
              <a:ln w="19050">
                <a:solidFill>
                  <a:schemeClr val="lt1"/>
                </a:solidFill>
              </a:ln>
              <a:effectLst/>
            </c:spPr>
            <c:extLst>
              <c:ext xmlns:c16="http://schemas.microsoft.com/office/drawing/2014/chart" uri="{C3380CC4-5D6E-409C-BE32-E72D297353CC}">
                <c16:uniqueId val="{00000003-C92A-4106-B1F9-A0232C89D3BB}"/>
              </c:ext>
            </c:extLst>
          </c:dPt>
          <c:dPt>
            <c:idx val="2"/>
            <c:bubble3D val="0"/>
            <c:explosion val="5"/>
            <c:spPr>
              <a:gradFill flip="none" rotWithShape="1">
                <a:gsLst>
                  <a:gs pos="0">
                    <a:srgbClr val="E648CC"/>
                  </a:gs>
                  <a:gs pos="100000">
                    <a:srgbClr val="512373"/>
                  </a:gs>
                </a:gsLst>
                <a:lin ang="18900000" scaled="1"/>
                <a:tileRect/>
              </a:gradFill>
              <a:ln w="19050">
                <a:solidFill>
                  <a:schemeClr val="lt1"/>
                </a:solidFill>
              </a:ln>
              <a:effectLst/>
            </c:spPr>
            <c:extLst>
              <c:ext xmlns:c16="http://schemas.microsoft.com/office/drawing/2014/chart" uri="{C3380CC4-5D6E-409C-BE32-E72D297353CC}">
                <c16:uniqueId val="{00000005-C92A-4106-B1F9-A0232C89D3BB}"/>
              </c:ext>
            </c:extLst>
          </c:dPt>
          <c:dLbls>
            <c:dLbl>
              <c:idx val="0"/>
              <c:layout>
                <c:manualLayout>
                  <c:x val="0.13458488741538888"/>
                  <c:y val="-0.11402296087034922"/>
                </c:manualLayout>
              </c:layout>
              <c:showLegendKey val="0"/>
              <c:showVal val="0"/>
              <c:showCatName val="1"/>
              <c:showSerName val="0"/>
              <c:showPercent val="1"/>
              <c:showBubbleSize val="0"/>
              <c:extLst>
                <c:ext xmlns:c15="http://schemas.microsoft.com/office/drawing/2012/chart" uri="{CE6537A1-D6FC-4f65-9D91-7224C49458BB}">
                  <c15:layout>
                    <c:manualLayout>
                      <c:w val="0.20407303370786517"/>
                      <c:h val="0.21961301671064204"/>
                    </c:manualLayout>
                  </c15:layout>
                </c:ext>
                <c:ext xmlns:c16="http://schemas.microsoft.com/office/drawing/2014/chart" uri="{C3380CC4-5D6E-409C-BE32-E72D297353CC}">
                  <c16:uniqueId val="{00000001-C92A-4106-B1F9-A0232C89D3BB}"/>
                </c:ext>
              </c:extLst>
            </c:dLbl>
            <c:dLbl>
              <c:idx val="1"/>
              <c:layout>
                <c:manualLayout>
                  <c:x val="0.15435995564894828"/>
                  <c:y val="9.3520228671943664E-2"/>
                </c:manualLayout>
              </c:layout>
              <c:showLegendKey val="0"/>
              <c:showVal val="0"/>
              <c:showCatName val="1"/>
              <c:showSerName val="0"/>
              <c:showPercent val="1"/>
              <c:showBubbleSize val="0"/>
              <c:extLst>
                <c:ext xmlns:c15="http://schemas.microsoft.com/office/drawing/2012/chart" uri="{CE6537A1-D6FC-4f65-9D91-7224C49458BB}">
                  <c15:layout>
                    <c:manualLayout>
                      <c:w val="0.30325390226057686"/>
                      <c:h val="0.31622711933735548"/>
                    </c:manualLayout>
                  </c15:layout>
                </c:ext>
                <c:ext xmlns:c16="http://schemas.microsoft.com/office/drawing/2014/chart" uri="{C3380CC4-5D6E-409C-BE32-E72D297353CC}">
                  <c16:uniqueId val="{00000003-C92A-4106-B1F9-A0232C89D3BB}"/>
                </c:ext>
              </c:extLst>
            </c:dLbl>
            <c:dLbl>
              <c:idx val="2"/>
              <c:layout>
                <c:manualLayout>
                  <c:x val="-0.11833668793197777"/>
                  <c:y val="-6.1565457956650992E-2"/>
                </c:manualLayout>
              </c:layout>
              <c:showLegendKey val="0"/>
              <c:showVal val="0"/>
              <c:showCatName val="1"/>
              <c:showSerName val="0"/>
              <c:showPercent val="1"/>
              <c:showBubbleSize val="0"/>
              <c:extLst>
                <c:ext xmlns:c15="http://schemas.microsoft.com/office/drawing/2012/chart" uri="{CE6537A1-D6FC-4f65-9D91-7224C49458BB}">
                  <c15:layout>
                    <c:manualLayout>
                      <c:w val="0.26728689096466879"/>
                      <c:h val="0.21961287123024212"/>
                    </c:manualLayout>
                  </c15:layout>
                </c:ext>
                <c:ext xmlns:c16="http://schemas.microsoft.com/office/drawing/2014/chart" uri="{C3380CC4-5D6E-409C-BE32-E72D297353CC}">
                  <c16:uniqueId val="{00000005-C92A-4106-B1F9-A0232C89D3BB}"/>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HRP!$D$21:$D$23</c:f>
              <c:strCache>
                <c:ptCount val="3"/>
                <c:pt idx="0">
                  <c:v>Karkal</c:v>
                </c:pt>
                <c:pt idx="1">
                  <c:v>Kundapura</c:v>
                </c:pt>
                <c:pt idx="2">
                  <c:v>Udupi</c:v>
                </c:pt>
              </c:strCache>
            </c:strRef>
          </c:cat>
          <c:val>
            <c:numRef>
              <c:f>HRP!$E$21:$E$23</c:f>
              <c:numCache>
                <c:formatCode>General</c:formatCode>
                <c:ptCount val="3"/>
                <c:pt idx="0">
                  <c:v>426</c:v>
                </c:pt>
                <c:pt idx="1">
                  <c:v>1199</c:v>
                </c:pt>
                <c:pt idx="2">
                  <c:v>1353</c:v>
                </c:pt>
              </c:numCache>
            </c:numRef>
          </c:val>
          <c:extLst>
            <c:ext xmlns:c16="http://schemas.microsoft.com/office/drawing/2014/chart" uri="{C3380CC4-5D6E-409C-BE32-E72D297353CC}">
              <c16:uniqueId val="{00000006-C92A-4106-B1F9-A0232C89D3BB}"/>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Latha" panose="020B0502040204020203" pitchFamily="34" charset="0"/>
              </a:defRPr>
            </a:pPr>
            <a:r>
              <a:rPr lang="en-IN" sz="900">
                <a:solidFill>
                  <a:sysClr val="windowText" lastClr="000000"/>
                </a:solidFill>
                <a:latin typeface="Lato Black" panose="020F0A02020204030203" pitchFamily="34" charset="0"/>
                <a:cs typeface="Latha" panose="020B0502040204020203" pitchFamily="34" charset="0"/>
              </a:rPr>
              <a:t>Intrapartum</a:t>
            </a:r>
          </a:p>
        </c:rich>
      </c:tx>
      <c:layout>
        <c:manualLayout>
          <c:xMode val="edge"/>
          <c:yMode val="edge"/>
          <c:x val="0.42804035378662242"/>
          <c:y val="5.6016588359429485E-2"/>
        </c:manualLayout>
      </c:layout>
      <c:overlay val="0"/>
      <c:spPr>
        <a:noFill/>
        <a:ln>
          <a:solidFill>
            <a:schemeClr val="tx1"/>
          </a:solid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Latha" panose="020B0502040204020203" pitchFamily="34" charset="0"/>
            </a:defRPr>
          </a:pPr>
          <a:endParaRPr lang="en-US"/>
        </a:p>
      </c:txPr>
    </c:title>
    <c:autoTitleDeleted val="0"/>
    <c:plotArea>
      <c:layout>
        <c:manualLayout>
          <c:layoutTarget val="inner"/>
          <c:xMode val="edge"/>
          <c:yMode val="edge"/>
          <c:x val="0.30933296480560163"/>
          <c:y val="0.33830980848991921"/>
          <c:w val="0.51589275843007187"/>
          <c:h val="0.54884494578937082"/>
        </c:manualLayout>
      </c:layout>
      <c:doughnutChart>
        <c:varyColors val="1"/>
        <c:ser>
          <c:idx val="0"/>
          <c:order val="0"/>
          <c:dPt>
            <c:idx val="0"/>
            <c:bubble3D val="0"/>
            <c:explosion val="10"/>
            <c:spPr>
              <a:gradFill>
                <a:gsLst>
                  <a:gs pos="0">
                    <a:srgbClr val="3EDADA"/>
                  </a:gs>
                  <a:gs pos="100000">
                    <a:srgbClr val="0070C0"/>
                  </a:gs>
                </a:gsLst>
                <a:lin ang="10800000" scaled="0"/>
              </a:gradFill>
              <a:ln w="19050">
                <a:solidFill>
                  <a:schemeClr val="lt1"/>
                </a:solidFill>
              </a:ln>
              <a:effectLst/>
            </c:spPr>
            <c:extLst>
              <c:ext xmlns:c16="http://schemas.microsoft.com/office/drawing/2014/chart" uri="{C3380CC4-5D6E-409C-BE32-E72D297353CC}">
                <c16:uniqueId val="{00000001-25AD-4196-A574-C42C207CDBB9}"/>
              </c:ext>
            </c:extLst>
          </c:dPt>
          <c:dPt>
            <c:idx val="1"/>
            <c:bubble3D val="0"/>
            <c:spPr>
              <a:gradFill>
                <a:gsLst>
                  <a:gs pos="0">
                    <a:srgbClr val="FFC000"/>
                  </a:gs>
                  <a:gs pos="100000">
                    <a:srgbClr val="EC720E"/>
                  </a:gs>
                </a:gsLst>
                <a:lin ang="10800000" scaled="0"/>
              </a:gradFill>
              <a:ln w="19050">
                <a:solidFill>
                  <a:schemeClr val="lt1"/>
                </a:solidFill>
              </a:ln>
              <a:effectLst/>
            </c:spPr>
            <c:extLst>
              <c:ext xmlns:c16="http://schemas.microsoft.com/office/drawing/2014/chart" uri="{C3380CC4-5D6E-409C-BE32-E72D297353CC}">
                <c16:uniqueId val="{00000003-25AD-4196-A574-C42C207CDBB9}"/>
              </c:ext>
            </c:extLst>
          </c:dPt>
          <c:dPt>
            <c:idx val="2"/>
            <c:bubble3D val="0"/>
            <c:explosion val="5"/>
            <c:spPr>
              <a:gradFill flip="none" rotWithShape="1">
                <a:gsLst>
                  <a:gs pos="0">
                    <a:srgbClr val="E648CC"/>
                  </a:gs>
                  <a:gs pos="100000">
                    <a:srgbClr val="512373"/>
                  </a:gs>
                </a:gsLst>
                <a:lin ang="18900000" scaled="1"/>
                <a:tileRect/>
              </a:gradFill>
              <a:ln w="19050">
                <a:solidFill>
                  <a:schemeClr val="lt1"/>
                </a:solidFill>
              </a:ln>
              <a:effectLst/>
            </c:spPr>
            <c:extLst>
              <c:ext xmlns:c16="http://schemas.microsoft.com/office/drawing/2014/chart" uri="{C3380CC4-5D6E-409C-BE32-E72D297353CC}">
                <c16:uniqueId val="{00000005-25AD-4196-A574-C42C207CDBB9}"/>
              </c:ext>
            </c:extLst>
          </c:dPt>
          <c:dLbls>
            <c:dLbl>
              <c:idx val="0"/>
              <c:layout>
                <c:manualLayout>
                  <c:x val="2.7962502303298376E-2"/>
                  <c:y val="-0.170720486111111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530403537866226"/>
                      <c:h val="0.2532164797008547"/>
                    </c:manualLayout>
                  </c15:layout>
                </c:ext>
                <c:ext xmlns:c16="http://schemas.microsoft.com/office/drawing/2014/chart" uri="{C3380CC4-5D6E-409C-BE32-E72D297353CC}">
                  <c16:uniqueId val="{00000001-25AD-4196-A574-C42C207CDBB9}"/>
                </c:ext>
              </c:extLst>
            </c:dLbl>
            <c:dLbl>
              <c:idx val="1"/>
              <c:layout>
                <c:manualLayout>
                  <c:x val="0.18294753086419743"/>
                  <c:y val="8.1584201388888888E-2"/>
                </c:manualLayout>
              </c:layout>
              <c:showLegendKey val="0"/>
              <c:showVal val="0"/>
              <c:showCatName val="1"/>
              <c:showSerName val="0"/>
              <c:showPercent val="1"/>
              <c:showBubbleSize val="0"/>
              <c:extLst>
                <c:ext xmlns:c15="http://schemas.microsoft.com/office/drawing/2012/chart" uri="{CE6537A1-D6FC-4f65-9D91-7224C49458BB}">
                  <c15:layout>
                    <c:manualLayout>
                      <c:w val="0.3009383426047853"/>
                      <c:h val="0.26692679562048061"/>
                    </c:manualLayout>
                  </c15:layout>
                </c:ext>
                <c:ext xmlns:c16="http://schemas.microsoft.com/office/drawing/2014/chart" uri="{C3380CC4-5D6E-409C-BE32-E72D297353CC}">
                  <c16:uniqueId val="{00000003-25AD-4196-A574-C42C207CDBB9}"/>
                </c:ext>
              </c:extLst>
            </c:dLbl>
            <c:dLbl>
              <c:idx val="2"/>
              <c:layout>
                <c:manualLayout>
                  <c:x val="-0.13595137383490841"/>
                  <c:y val="-3.396548583152492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571955039616731"/>
                      <c:h val="0.29561765491452996"/>
                    </c:manualLayout>
                  </c15:layout>
                </c:ext>
                <c:ext xmlns:c16="http://schemas.microsoft.com/office/drawing/2014/chart" uri="{C3380CC4-5D6E-409C-BE32-E72D297353CC}">
                  <c16:uniqueId val="{00000005-25AD-4196-A574-C42C207CDBB9}"/>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HRP!$D$2:$D$4</c:f>
              <c:strCache>
                <c:ptCount val="3"/>
                <c:pt idx="0">
                  <c:v>Karkal</c:v>
                </c:pt>
                <c:pt idx="1">
                  <c:v>Kundapura</c:v>
                </c:pt>
                <c:pt idx="2">
                  <c:v>Udupi</c:v>
                </c:pt>
              </c:strCache>
            </c:strRef>
          </c:cat>
          <c:val>
            <c:numRef>
              <c:f>HRP!$E$2:$E$4</c:f>
              <c:numCache>
                <c:formatCode>General</c:formatCode>
                <c:ptCount val="3"/>
                <c:pt idx="0">
                  <c:v>10</c:v>
                </c:pt>
                <c:pt idx="1">
                  <c:v>141</c:v>
                </c:pt>
                <c:pt idx="2">
                  <c:v>76</c:v>
                </c:pt>
              </c:numCache>
            </c:numRef>
          </c:val>
          <c:extLst>
            <c:ext xmlns:c16="http://schemas.microsoft.com/office/drawing/2014/chart" uri="{C3380CC4-5D6E-409C-BE32-E72D297353CC}">
              <c16:uniqueId val="{00000006-25AD-4196-A574-C42C207CDBB9}"/>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570997430313563"/>
          <c:y val="0.28363683590627031"/>
          <c:w val="0.78428998462712429"/>
          <c:h val="0.71575384789045993"/>
        </c:manualLayout>
      </c:layout>
      <c:bar3DChart>
        <c:barDir val="bar"/>
        <c:grouping val="clustered"/>
        <c:varyColors val="0"/>
        <c:ser>
          <c:idx val="0"/>
          <c:order val="0"/>
          <c:tx>
            <c:strRef>
              <c:f>HRP!$B$30</c:f>
              <c:strCache>
                <c:ptCount val="1"/>
                <c:pt idx="0">
                  <c:v>PW with Post-Partum Haemorrhage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HRP!$B$31:$B$33</c:f>
              <c:numCache>
                <c:formatCode>General</c:formatCode>
                <c:ptCount val="3"/>
                <c:pt idx="0">
                  <c:v>9</c:v>
                </c:pt>
                <c:pt idx="1">
                  <c:v>17</c:v>
                </c:pt>
                <c:pt idx="2">
                  <c:v>20</c:v>
                </c:pt>
              </c:numCache>
            </c:numRef>
          </c:val>
          <c:extLst>
            <c:ext xmlns:c16="http://schemas.microsoft.com/office/drawing/2014/chart" uri="{C3380CC4-5D6E-409C-BE32-E72D297353CC}">
              <c16:uniqueId val="{00000000-D282-47FD-BB1E-4070C6DBD0E3}"/>
            </c:ext>
          </c:extLst>
        </c:ser>
        <c:ser>
          <c:idx val="1"/>
          <c:order val="1"/>
          <c:tx>
            <c:strRef>
              <c:f>HRP!$C$30</c:f>
              <c:strCache>
                <c:ptCount val="1"/>
                <c:pt idx="0">
                  <c:v>PW with Sepsis in the facility.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HRP!$C$31:$C$33</c:f>
              <c:numCache>
                <c:formatCode>General</c:formatCode>
                <c:ptCount val="3"/>
                <c:pt idx="0">
                  <c:v>0</c:v>
                </c:pt>
                <c:pt idx="1">
                  <c:v>7</c:v>
                </c:pt>
                <c:pt idx="2">
                  <c:v>0</c:v>
                </c:pt>
              </c:numCache>
            </c:numRef>
          </c:val>
          <c:extLst>
            <c:ext xmlns:c16="http://schemas.microsoft.com/office/drawing/2014/chart" uri="{C3380CC4-5D6E-409C-BE32-E72D297353CC}">
              <c16:uniqueId val="{00000001-D282-47FD-BB1E-4070C6DBD0E3}"/>
            </c:ext>
          </c:extLst>
        </c:ser>
        <c:ser>
          <c:idx val="2"/>
          <c:order val="2"/>
          <c:tx>
            <c:strRef>
              <c:f>HRP!$D$30</c:f>
              <c:strCache>
                <c:ptCount val="1"/>
                <c:pt idx="0">
                  <c:v>PW identified with Eclampsia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HRP!$D$31:$D$33</c:f>
              <c:numCache>
                <c:formatCode>General</c:formatCode>
                <c:ptCount val="3"/>
                <c:pt idx="0">
                  <c:v>1</c:v>
                </c:pt>
                <c:pt idx="1">
                  <c:v>0</c:v>
                </c:pt>
                <c:pt idx="2">
                  <c:v>20</c:v>
                </c:pt>
              </c:numCache>
            </c:numRef>
          </c:val>
          <c:extLst>
            <c:ext xmlns:c16="http://schemas.microsoft.com/office/drawing/2014/chart" uri="{C3380CC4-5D6E-409C-BE32-E72D297353CC}">
              <c16:uniqueId val="{00000002-D282-47FD-BB1E-4070C6DBD0E3}"/>
            </c:ext>
          </c:extLst>
        </c:ser>
        <c:ser>
          <c:idx val="3"/>
          <c:order val="3"/>
          <c:tx>
            <c:strRef>
              <c:f>HRP!$E$30</c:f>
              <c:strCache>
                <c:ptCount val="1"/>
                <c:pt idx="0">
                  <c:v>PW identified with obstructed labour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HRP!$E$31:$E$33</c:f>
              <c:numCache>
                <c:formatCode>General</c:formatCode>
                <c:ptCount val="3"/>
                <c:pt idx="0">
                  <c:v>0</c:v>
                </c:pt>
                <c:pt idx="1">
                  <c:v>117</c:v>
                </c:pt>
                <c:pt idx="2">
                  <c:v>36</c:v>
                </c:pt>
              </c:numCache>
            </c:numRef>
          </c:val>
          <c:extLst>
            <c:ext xmlns:c16="http://schemas.microsoft.com/office/drawing/2014/chart" uri="{C3380CC4-5D6E-409C-BE32-E72D297353CC}">
              <c16:uniqueId val="{00000003-D282-47FD-BB1E-4070C6DBD0E3}"/>
            </c:ext>
          </c:extLst>
        </c:ser>
        <c:dLbls>
          <c:showLegendKey val="0"/>
          <c:showVal val="1"/>
          <c:showCatName val="0"/>
          <c:showSerName val="0"/>
          <c:showPercent val="0"/>
          <c:showBubbleSize val="0"/>
        </c:dLbls>
        <c:gapWidth val="150"/>
        <c:shape val="box"/>
        <c:axId val="1460250832"/>
        <c:axId val="1460248432"/>
        <c:axId val="0"/>
      </c:bar3DChart>
      <c:catAx>
        <c:axId val="146025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Latha" panose="020B0604020202020204" pitchFamily="34" charset="0"/>
              </a:defRPr>
            </a:pPr>
            <a:endParaRPr lang="en-US"/>
          </a:p>
        </c:txPr>
        <c:crossAx val="1460248432"/>
        <c:crosses val="autoZero"/>
        <c:auto val="1"/>
        <c:lblAlgn val="ctr"/>
        <c:lblOffset val="100"/>
        <c:noMultiLvlLbl val="0"/>
      </c:catAx>
      <c:valAx>
        <c:axId val="1460248432"/>
        <c:scaling>
          <c:orientation val="minMax"/>
        </c:scaling>
        <c:delete val="1"/>
        <c:axPos val="b"/>
        <c:numFmt formatCode="General" sourceLinked="1"/>
        <c:majorTickMark val="none"/>
        <c:minorTickMark val="none"/>
        <c:tickLblPos val="nextTo"/>
        <c:crossAx val="1460250832"/>
        <c:crosses val="autoZero"/>
        <c:crossBetween val="between"/>
      </c:valAx>
      <c:spPr>
        <a:noFill/>
        <a:ln>
          <a:noFill/>
        </a:ln>
        <a:effectLst/>
      </c:spPr>
    </c:plotArea>
    <c:legend>
      <c:legendPos val="t"/>
      <c:layout>
        <c:manualLayout>
          <c:xMode val="edge"/>
          <c:yMode val="edge"/>
          <c:x val="9.8428014007693534E-3"/>
          <c:y val="0"/>
          <c:w val="0.97858613794692917"/>
          <c:h val="0.29675830372669049"/>
        </c:manualLayout>
      </c:layout>
      <c:overlay val="0"/>
      <c:spPr>
        <a:noFill/>
        <a:ln>
          <a:noFill/>
        </a:ln>
        <a:effectLst/>
      </c:spPr>
      <c:txPr>
        <a:bodyPr rot="0" spcFirstLastPara="1" vertOverflow="ellipsis" vert="horz" wrap="square" anchor="ctr" anchorCtr="1"/>
        <a:lstStyle/>
        <a:p>
          <a:pPr>
            <a:defRPr sz="800" b="1"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10711713916303385"/>
          <c:y val="3.849896267220497E-2"/>
          <c:w val="0.88501967089316813"/>
          <c:h val="0.4886065646288596"/>
        </c:manualLayout>
      </c:layout>
      <c:barChart>
        <c:barDir val="col"/>
        <c:grouping val="clustered"/>
        <c:varyColors val="0"/>
        <c:ser>
          <c:idx val="0"/>
          <c:order val="0"/>
          <c:tx>
            <c:strRef>
              <c:f>Diabetics!$B$20</c:f>
              <c:strCache>
                <c:ptCount val="1"/>
                <c:pt idx="0">
                  <c:v>PW tested positive for GDM out of total OGTT</c:v>
                </c:pt>
              </c:strCache>
            </c:strRef>
          </c:tx>
          <c:spPr>
            <a:solidFill>
              <a:schemeClr val="accent5">
                <a:shade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Diabetics!$B$21:$B$23</c:f>
              <c:numCache>
                <c:formatCode>General</c:formatCode>
                <c:ptCount val="3"/>
                <c:pt idx="0">
                  <c:v>48</c:v>
                </c:pt>
                <c:pt idx="1">
                  <c:v>151</c:v>
                </c:pt>
                <c:pt idx="2">
                  <c:v>900</c:v>
                </c:pt>
              </c:numCache>
            </c:numRef>
          </c:val>
          <c:extLst>
            <c:ext xmlns:c16="http://schemas.microsoft.com/office/drawing/2014/chart" uri="{C3380CC4-5D6E-409C-BE32-E72D297353CC}">
              <c16:uniqueId val="{00000000-3214-4C31-92B9-D876FED160C9}"/>
            </c:ext>
          </c:extLst>
        </c:ser>
        <c:ser>
          <c:idx val="1"/>
          <c:order val="1"/>
          <c:tx>
            <c:strRef>
              <c:f>Diabetics!$C$20</c:f>
              <c:strCache>
                <c:ptCount val="1"/>
                <c:pt idx="0">
                  <c:v>PW given Insulin out of total tested positive for GDM</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Diabetics!$C$21:$C$23</c:f>
              <c:numCache>
                <c:formatCode>General</c:formatCode>
                <c:ptCount val="3"/>
                <c:pt idx="0">
                  <c:v>17</c:v>
                </c:pt>
                <c:pt idx="1">
                  <c:v>47</c:v>
                </c:pt>
                <c:pt idx="2">
                  <c:v>206</c:v>
                </c:pt>
              </c:numCache>
            </c:numRef>
          </c:val>
          <c:extLst>
            <c:ext xmlns:c16="http://schemas.microsoft.com/office/drawing/2014/chart" uri="{C3380CC4-5D6E-409C-BE32-E72D297353CC}">
              <c16:uniqueId val="{00000001-3214-4C31-92B9-D876FED160C9}"/>
            </c:ext>
          </c:extLst>
        </c:ser>
        <c:ser>
          <c:idx val="2"/>
          <c:order val="2"/>
          <c:tx>
            <c:strRef>
              <c:f>Diabetics!$D$20</c:f>
              <c:strCache>
                <c:ptCount val="1"/>
                <c:pt idx="0">
                  <c:v>PW given Metformin out of total tested positive for GDM</c:v>
                </c:pt>
              </c:strCache>
            </c:strRef>
          </c:tx>
          <c:spPr>
            <a:solidFill>
              <a:schemeClr val="accent5">
                <a:tint val="6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Diabetics!$D$21:$D$23</c:f>
              <c:numCache>
                <c:formatCode>General</c:formatCode>
                <c:ptCount val="3"/>
                <c:pt idx="0">
                  <c:v>78</c:v>
                </c:pt>
                <c:pt idx="1">
                  <c:v>107</c:v>
                </c:pt>
                <c:pt idx="2">
                  <c:v>315</c:v>
                </c:pt>
              </c:numCache>
            </c:numRef>
          </c:val>
          <c:extLst>
            <c:ext xmlns:c16="http://schemas.microsoft.com/office/drawing/2014/chart" uri="{C3380CC4-5D6E-409C-BE32-E72D297353CC}">
              <c16:uniqueId val="{00000002-3214-4C31-92B9-D876FED160C9}"/>
            </c:ext>
          </c:extLst>
        </c:ser>
        <c:dLbls>
          <c:showLegendKey val="0"/>
          <c:showVal val="1"/>
          <c:showCatName val="0"/>
          <c:showSerName val="0"/>
          <c:showPercent val="0"/>
          <c:showBubbleSize val="0"/>
        </c:dLbls>
        <c:gapWidth val="150"/>
        <c:axId val="1466629472"/>
        <c:axId val="1466622752"/>
      </c:barChart>
      <c:catAx>
        <c:axId val="1466629472"/>
        <c:scaling>
          <c:orientation val="minMax"/>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466622752"/>
        <c:crosses val="autoZero"/>
        <c:auto val="1"/>
        <c:lblAlgn val="ctr"/>
        <c:lblOffset val="100"/>
        <c:noMultiLvlLbl val="0"/>
      </c:catAx>
      <c:valAx>
        <c:axId val="1466622752"/>
        <c:scaling>
          <c:orientation val="minMax"/>
          <c:max val="900"/>
          <c:min val="1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466629472"/>
        <c:crosses val="autoZero"/>
        <c:crossBetween val="between"/>
        <c:majorUnit val="125"/>
      </c:valAx>
      <c:spPr>
        <a:noFill/>
        <a:ln>
          <a:noFill/>
        </a:ln>
        <a:effectLst/>
      </c:spPr>
    </c:plotArea>
    <c:legend>
      <c:legendPos val="b"/>
      <c:layout>
        <c:manualLayout>
          <c:xMode val="edge"/>
          <c:yMode val="edge"/>
          <c:x val="6.5743558458213461E-2"/>
          <c:y val="0.61927350430545602"/>
          <c:w val="0.87332904028447778"/>
          <c:h val="0.30394642497994373"/>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[ANC_Healthcare_Dashboard.xlsx]Hb records!Hb records2</c:name>
    <c:fmtId val="25"/>
  </c:pivotSource>
  <c:chart>
    <c:autoTitleDeleted val="1"/>
    <c:pivotFmts>
      <c:pivotFmt>
        <c:idx val="0"/>
        <c:spPr>
          <a:gradFill>
            <a:gsLst>
              <a:gs pos="0">
                <a:schemeClr val="accent1">
                  <a:lumMod val="80000"/>
                </a:schemeClr>
              </a:gs>
              <a:gs pos="100000">
                <a:schemeClr val="accent2">
                  <a:lumMod val="20000"/>
                  <a:lumOff val="80000"/>
                </a:schemeClr>
              </a:gs>
            </a:gsLst>
            <a:lin ang="5400000" scaled="1"/>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EC52C7"/>
              </a:gs>
              <a:gs pos="100000">
                <a:srgbClr val="FF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CFC42"/>
              </a:gs>
              <a:gs pos="100000">
                <a:srgbClr val="00660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gradFill flip="none" rotWithShape="1">
            <a:gsLst>
              <a:gs pos="0">
                <a:srgbClr val="EC52C7"/>
              </a:gs>
              <a:gs pos="100000">
                <a:srgbClr val="FF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rgbClr val="FCFC42"/>
              </a:gs>
              <a:gs pos="100000">
                <a:srgbClr val="00660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rgbClr val="EC52C7"/>
              </a:gs>
              <a:gs pos="100000">
                <a:srgbClr val="FF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a:gsLst>
              <a:gs pos="0">
                <a:srgbClr val="FCFC42"/>
              </a:gs>
              <a:gs pos="100000">
                <a:srgbClr val="00660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15613631352466"/>
          <c:y val="2.5352116190545108E-2"/>
          <c:w val="0.85889228602812973"/>
          <c:h val="0.71018696769809353"/>
        </c:manualLayout>
      </c:layout>
      <c:barChart>
        <c:barDir val="col"/>
        <c:grouping val="clustered"/>
        <c:varyColors val="0"/>
        <c:ser>
          <c:idx val="0"/>
          <c:order val="0"/>
          <c:tx>
            <c:strRef>
              <c:f>'Hb records'!$B$10</c:f>
              <c:strCache>
                <c:ptCount val="1"/>
                <c:pt idx="0">
                  <c:v>PW having Hb level&lt;=7 g/dl</c:v>
                </c:pt>
              </c:strCache>
            </c:strRef>
          </c:tx>
          <c:spPr>
            <a:gradFill flip="none" rotWithShape="1">
              <a:gsLst>
                <a:gs pos="0">
                  <a:srgbClr val="EC52C7"/>
                </a:gs>
                <a:gs pos="100000">
                  <a:srgbClr val="FF0000"/>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'Hb records'!$A$11:$A$14</c:f>
              <c:strCache>
                <c:ptCount val="3"/>
                <c:pt idx="0">
                  <c:v>Karkal</c:v>
                </c:pt>
                <c:pt idx="1">
                  <c:v>Kundapura</c:v>
                </c:pt>
                <c:pt idx="2">
                  <c:v>Udupi</c:v>
                </c:pt>
              </c:strCache>
            </c:strRef>
          </c:cat>
          <c:val>
            <c:numRef>
              <c:f>'Hb records'!$B$11:$B$14</c:f>
              <c:numCache>
                <c:formatCode>General</c:formatCode>
                <c:ptCount val="3"/>
                <c:pt idx="0">
                  <c:v>25</c:v>
                </c:pt>
                <c:pt idx="1">
                  <c:v>23</c:v>
                </c:pt>
                <c:pt idx="2">
                  <c:v>153</c:v>
                </c:pt>
              </c:numCache>
            </c:numRef>
          </c:val>
          <c:extLst>
            <c:ext xmlns:c16="http://schemas.microsoft.com/office/drawing/2014/chart" uri="{C3380CC4-5D6E-409C-BE32-E72D297353CC}">
              <c16:uniqueId val="{00000000-7C56-4331-8E66-9556621FB316}"/>
            </c:ext>
          </c:extLst>
        </c:ser>
        <c:ser>
          <c:idx val="1"/>
          <c:order val="1"/>
          <c:tx>
            <c:strRef>
              <c:f>'Hb records'!$C$10</c:f>
              <c:strCache>
                <c:ptCount val="1"/>
                <c:pt idx="0">
                  <c:v>PW treated for severe anaemia (Hb&lt;=7g/dl)</c:v>
                </c:pt>
              </c:strCache>
            </c:strRef>
          </c:tx>
          <c:spPr>
            <a:gradFill>
              <a:gsLst>
                <a:gs pos="0">
                  <a:srgbClr val="FCFC42"/>
                </a:gs>
                <a:gs pos="100000">
                  <a:srgbClr val="006600"/>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'Hb records'!$A$11:$A$14</c:f>
              <c:strCache>
                <c:ptCount val="3"/>
                <c:pt idx="0">
                  <c:v>Karkal</c:v>
                </c:pt>
                <c:pt idx="1">
                  <c:v>Kundapura</c:v>
                </c:pt>
                <c:pt idx="2">
                  <c:v>Udupi</c:v>
                </c:pt>
              </c:strCache>
            </c:strRef>
          </c:cat>
          <c:val>
            <c:numRef>
              <c:f>'Hb records'!$C$11:$C$14</c:f>
              <c:numCache>
                <c:formatCode>General</c:formatCode>
                <c:ptCount val="3"/>
                <c:pt idx="0">
                  <c:v>23</c:v>
                </c:pt>
                <c:pt idx="1">
                  <c:v>30</c:v>
                </c:pt>
                <c:pt idx="2">
                  <c:v>152</c:v>
                </c:pt>
              </c:numCache>
            </c:numRef>
          </c:val>
          <c:extLst>
            <c:ext xmlns:c16="http://schemas.microsoft.com/office/drawing/2014/chart" uri="{C3380CC4-5D6E-409C-BE32-E72D297353CC}">
              <c16:uniqueId val="{00000001-7C56-4331-8E66-9556621FB316}"/>
            </c:ext>
          </c:extLst>
        </c:ser>
        <c:dLbls>
          <c:showLegendKey val="0"/>
          <c:showVal val="1"/>
          <c:showCatName val="0"/>
          <c:showSerName val="0"/>
          <c:showPercent val="0"/>
          <c:showBubbleSize val="0"/>
        </c:dLbls>
        <c:gapWidth val="75"/>
        <c:axId val="1299608015"/>
        <c:axId val="1299607535"/>
      </c:barChart>
      <c:catAx>
        <c:axId val="12996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99607535"/>
        <c:crosses val="autoZero"/>
        <c:auto val="1"/>
        <c:lblAlgn val="ctr"/>
        <c:lblOffset val="100"/>
        <c:noMultiLvlLbl val="0"/>
      </c:catAx>
      <c:valAx>
        <c:axId val="129960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99608015"/>
        <c:crosses val="autoZero"/>
        <c:crossBetween val="between"/>
      </c:valAx>
      <c:spPr>
        <a:noFill/>
        <a:ln>
          <a:noFill/>
        </a:ln>
        <a:effectLst/>
      </c:spPr>
    </c:plotArea>
    <c:legend>
      <c:legendPos val="b"/>
      <c:layout>
        <c:manualLayout>
          <c:xMode val="edge"/>
          <c:yMode val="edge"/>
          <c:x val="6.8994115364255718E-2"/>
          <c:y val="0.81245838589031638"/>
          <c:w val="0.87653932971147641"/>
          <c:h val="0.18754161410968367"/>
        </c:manualLayout>
      </c:layout>
      <c:overlay val="0"/>
      <c:spPr>
        <a:noFill/>
        <a:ln>
          <a:noFill/>
        </a:ln>
        <a:effectLst/>
      </c:spPr>
      <c:txPr>
        <a:bodyPr rot="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[ANC_Healthcare_Dashboard.xlsx]PW registered by age!PW registered by age</c:name>
    <c:fmtId val="1"/>
  </c:pivotSource>
  <c:chart>
    <c:autoTitleDeleted val="0"/>
    <c:pivotFmts>
      <c:pivotFmt>
        <c:idx val="0"/>
        <c:spPr>
          <a:solidFill>
            <a:srgbClr val="92D050"/>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75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'PW registered by age'!$B$1</c:f>
              <c:strCache>
                <c:ptCount val="1"/>
                <c:pt idx="0">
                  <c:v>PW with age &lt;15 years</c:v>
                </c:pt>
              </c:strCache>
            </c:strRef>
          </c:tx>
          <c:spPr>
            <a:solidFill>
              <a:srgbClr val="92D050"/>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age'!$B$2:$B$5</c:f>
              <c:numCache>
                <c:formatCode>General</c:formatCode>
                <c:ptCount val="3"/>
                <c:pt idx="0">
                  <c:v>7</c:v>
                </c:pt>
                <c:pt idx="1">
                  <c:v>0</c:v>
                </c:pt>
                <c:pt idx="2">
                  <c:v>2</c:v>
                </c:pt>
              </c:numCache>
            </c:numRef>
          </c:val>
          <c:extLst>
            <c:ext xmlns:c16="http://schemas.microsoft.com/office/drawing/2014/chart" uri="{C3380CC4-5D6E-409C-BE32-E72D297353CC}">
              <c16:uniqueId val="{00000000-D4B6-4007-9F44-A9DE504F20B0}"/>
            </c:ext>
          </c:extLst>
        </c:ser>
        <c:ser>
          <c:idx val="1"/>
          <c:order val="1"/>
          <c:tx>
            <c:strRef>
              <c:f>'PW registered by age'!$C$1</c:f>
              <c:strCache>
                <c:ptCount val="1"/>
                <c:pt idx="0">
                  <c:v>PW with age 15-19 years</c:v>
                </c:pt>
              </c:strCache>
            </c:strRef>
          </c:tx>
          <c:spPr>
            <a:solidFill>
              <a:schemeClr val="accent1">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age'!$C$2:$C$5</c:f>
              <c:numCache>
                <c:formatCode>General</c:formatCode>
                <c:ptCount val="3"/>
                <c:pt idx="0">
                  <c:v>2</c:v>
                </c:pt>
                <c:pt idx="1">
                  <c:v>1</c:v>
                </c:pt>
                <c:pt idx="2">
                  <c:v>5</c:v>
                </c:pt>
              </c:numCache>
            </c:numRef>
          </c:val>
          <c:extLst>
            <c:ext xmlns:c16="http://schemas.microsoft.com/office/drawing/2014/chart" uri="{C3380CC4-5D6E-409C-BE32-E72D297353CC}">
              <c16:uniqueId val="{00000001-D4B6-4007-9F44-A9DE504F20B0}"/>
            </c:ext>
          </c:extLst>
        </c:ser>
        <c:ser>
          <c:idx val="2"/>
          <c:order val="2"/>
          <c:tx>
            <c:strRef>
              <c:f>'PW registered by age'!$D$1</c:f>
              <c:strCache>
                <c:ptCount val="1"/>
                <c:pt idx="0">
                  <c:v>PW with age &gt;49 years</c:v>
                </c:pt>
              </c:strCache>
            </c:strRef>
          </c:tx>
          <c:spPr>
            <a:solidFill>
              <a:schemeClr val="accent2">
                <a:lumMod val="75000"/>
              </a:schemeClr>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rade Gothic Next Heavy" panose="020B09030403030200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age'!$A$2:$A$5</c:f>
              <c:strCache>
                <c:ptCount val="3"/>
                <c:pt idx="0">
                  <c:v>Karkal</c:v>
                </c:pt>
                <c:pt idx="1">
                  <c:v>Kundapura</c:v>
                </c:pt>
                <c:pt idx="2">
                  <c:v>Udupi</c:v>
                </c:pt>
              </c:strCache>
            </c:strRef>
          </c:cat>
          <c:val>
            <c:numRef>
              <c:f>'PW registered by age'!$D$2:$D$5</c:f>
              <c:numCache>
                <c:formatCode>General</c:formatCode>
                <c:ptCount val="3"/>
                <c:pt idx="0">
                  <c:v>0</c:v>
                </c:pt>
                <c:pt idx="1">
                  <c:v>7</c:v>
                </c:pt>
                <c:pt idx="2">
                  <c:v>4</c:v>
                </c:pt>
              </c:numCache>
            </c:numRef>
          </c:val>
          <c:extLst>
            <c:ext xmlns:c16="http://schemas.microsoft.com/office/drawing/2014/chart" uri="{C3380CC4-5D6E-409C-BE32-E72D297353CC}">
              <c16:uniqueId val="{00000002-D4B6-4007-9F44-A9DE504F20B0}"/>
            </c:ext>
          </c:extLst>
        </c:ser>
        <c:dLbls>
          <c:showLegendKey val="0"/>
          <c:showVal val="1"/>
          <c:showCatName val="0"/>
          <c:showSerName val="0"/>
          <c:showPercent val="0"/>
          <c:showBubbleSize val="0"/>
        </c:dLbls>
        <c:gapWidth val="75"/>
        <c:shape val="box"/>
        <c:axId val="1218886927"/>
        <c:axId val="1218886447"/>
        <c:axId val="0"/>
      </c:bar3DChart>
      <c:catAx>
        <c:axId val="121888692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rade Gothic Next Heavy" panose="020B0903040303020004" pitchFamily="34" charset="0"/>
                <a:ea typeface="+mn-ea"/>
                <a:cs typeface="+mn-cs"/>
              </a:defRPr>
            </a:pPr>
            <a:endParaRPr lang="en-US"/>
          </a:p>
        </c:txPr>
        <c:crossAx val="1218886447"/>
        <c:crosses val="autoZero"/>
        <c:auto val="1"/>
        <c:lblAlgn val="ctr"/>
        <c:lblOffset val="100"/>
        <c:noMultiLvlLbl val="0"/>
      </c:catAx>
      <c:valAx>
        <c:axId val="12188864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21888692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Trade Gothic Next Heavy" panose="020B09030403030200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'PW registered by TD'!$B$8</c:f>
              <c:strCache>
                <c:ptCount val="1"/>
                <c:pt idx="0">
                  <c:v>PW given Td1 (Tetanus Diptheria dose 1)</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TD'!$B$9:$B$11</c:f>
              <c:numCache>
                <c:formatCode>General</c:formatCode>
                <c:ptCount val="3"/>
                <c:pt idx="0">
                  <c:v>1162</c:v>
                </c:pt>
                <c:pt idx="1">
                  <c:v>2039</c:v>
                </c:pt>
                <c:pt idx="2">
                  <c:v>4079</c:v>
                </c:pt>
              </c:numCache>
            </c:numRef>
          </c:val>
          <c:extLst>
            <c:ext xmlns:c16="http://schemas.microsoft.com/office/drawing/2014/chart" uri="{C3380CC4-5D6E-409C-BE32-E72D297353CC}">
              <c16:uniqueId val="{00000002-C97B-4947-8066-E62AFE9BEFC1}"/>
            </c:ext>
          </c:extLst>
        </c:ser>
        <c:ser>
          <c:idx val="1"/>
          <c:order val="1"/>
          <c:tx>
            <c:strRef>
              <c:f>'PW registered by TD'!$C$8</c:f>
              <c:strCache>
                <c:ptCount val="1"/>
                <c:pt idx="0">
                  <c:v>PW given Td2 (Tetanus Diptheria dose 2)</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TD'!$C$9:$C$11</c:f>
              <c:numCache>
                <c:formatCode>General</c:formatCode>
                <c:ptCount val="3"/>
                <c:pt idx="0">
                  <c:v>1050</c:v>
                </c:pt>
                <c:pt idx="1">
                  <c:v>1852</c:v>
                </c:pt>
                <c:pt idx="2">
                  <c:v>3372</c:v>
                </c:pt>
              </c:numCache>
            </c:numRef>
          </c:val>
          <c:extLst>
            <c:ext xmlns:c16="http://schemas.microsoft.com/office/drawing/2014/chart" uri="{C3380CC4-5D6E-409C-BE32-E72D297353CC}">
              <c16:uniqueId val="{00000000-C97B-4947-8066-E62AFE9BEFC1}"/>
            </c:ext>
          </c:extLst>
        </c:ser>
        <c:ser>
          <c:idx val="2"/>
          <c:order val="2"/>
          <c:tx>
            <c:strRef>
              <c:f>'PW registered by TD'!$D$8</c:f>
              <c:strCache>
                <c:ptCount val="1"/>
                <c:pt idx="0">
                  <c:v>PW given Td Booster (Tetanus Diptheria dose booster)</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'PW registered by TD'!$A$9:$A$11</c:f>
              <c:strCache>
                <c:ptCount val="3"/>
                <c:pt idx="0">
                  <c:v>Karkal</c:v>
                </c:pt>
                <c:pt idx="1">
                  <c:v>Kundapura</c:v>
                </c:pt>
                <c:pt idx="2">
                  <c:v>Udupi</c:v>
                </c:pt>
              </c:strCache>
            </c:strRef>
          </c:cat>
          <c:val>
            <c:numRef>
              <c:f>'PW registered by TD'!$D$9:$D$11</c:f>
              <c:numCache>
                <c:formatCode>General</c:formatCode>
                <c:ptCount val="3"/>
                <c:pt idx="0">
                  <c:v>144</c:v>
                </c:pt>
                <c:pt idx="1">
                  <c:v>301</c:v>
                </c:pt>
                <c:pt idx="2">
                  <c:v>1328</c:v>
                </c:pt>
              </c:numCache>
            </c:numRef>
          </c:val>
          <c:extLst>
            <c:ext xmlns:c16="http://schemas.microsoft.com/office/drawing/2014/chart" uri="{C3380CC4-5D6E-409C-BE32-E72D297353CC}">
              <c16:uniqueId val="{00000001-C97B-4947-8066-E62AFE9BEFC1}"/>
            </c:ext>
          </c:extLst>
        </c:ser>
        <c:dLbls>
          <c:dLblPos val="outEnd"/>
          <c:showLegendKey val="0"/>
          <c:showVal val="1"/>
          <c:showCatName val="0"/>
          <c:showSerName val="0"/>
          <c:showPercent val="0"/>
          <c:showBubbleSize val="0"/>
        </c:dLbls>
        <c:gapWidth val="115"/>
        <c:overlap val="-20"/>
        <c:axId val="1209584655"/>
        <c:axId val="1209581775"/>
      </c:barChart>
      <c:catAx>
        <c:axId val="1209584655"/>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09581775"/>
        <c:crosses val="autoZero"/>
        <c:auto val="1"/>
        <c:lblAlgn val="ctr"/>
        <c:lblOffset val="100"/>
        <c:noMultiLvlLbl val="0"/>
      </c:catAx>
      <c:valAx>
        <c:axId val="1209581775"/>
        <c:scaling>
          <c:orientation val="minMax"/>
          <c:max val="4100"/>
          <c:min val="0"/>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09584655"/>
        <c:crosses val="autoZero"/>
        <c:crossBetween val="between"/>
        <c:majorUnit val="5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[ANC_Healthcare_Dashboard.xlsx]Hypertension!Total Hypertension2</c:name>
    <c:fmtId val="4"/>
  </c:pivotSource>
  <c:chart>
    <c:autoTitleDeleted val="1"/>
    <c:pivotFmts>
      <c:pivotFmt>
        <c:idx val="0"/>
        <c:spPr>
          <a:ln w="31750" cap="rnd">
            <a:solidFill>
              <a:srgbClr val="8E5A14"/>
            </a:solidFill>
            <a:round/>
          </a:ln>
          <a:effectLst/>
        </c:spPr>
        <c:marker>
          <c:symbol val="circle"/>
          <c:size val="17"/>
          <c:spPr>
            <a:solidFill>
              <a:srgbClr val="8E5A14"/>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ln w="31750" cap="rnd">
            <a:solidFill>
              <a:srgbClr val="F7353A"/>
            </a:solidFill>
            <a:round/>
          </a:ln>
          <a:effectLst/>
        </c:spPr>
        <c:marker>
          <c:symbol val="circle"/>
          <c:size val="17"/>
          <c:spPr>
            <a:solidFill>
              <a:srgbClr val="F7353A"/>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rgbClr val="8E5A14"/>
            </a:solidFill>
            <a:round/>
          </a:ln>
          <a:effectLst/>
        </c:spPr>
        <c:marker>
          <c:symbol val="circle"/>
          <c:size val="17"/>
          <c:spPr>
            <a:solidFill>
              <a:srgbClr val="8E5A14"/>
            </a:solidFill>
            <a:ln>
              <a:noFill/>
            </a:ln>
            <a:effectLst/>
          </c:spPr>
        </c:marker>
        <c:dLbl>
          <c:idx val="0"/>
          <c:layout>
            <c:manualLayout>
              <c:x val="-5.0166666666666665E-2"/>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31750" cap="rnd">
            <a:solidFill>
              <a:srgbClr val="8E5A14"/>
            </a:solidFill>
            <a:round/>
          </a:ln>
          <a:effectLst/>
        </c:spPr>
        <c:marker>
          <c:symbol val="circle"/>
          <c:size val="17"/>
          <c:spPr>
            <a:solidFill>
              <a:srgbClr val="8E5A14"/>
            </a:solidFill>
            <a:ln>
              <a:noFill/>
            </a:ln>
            <a:effectLst/>
          </c:spPr>
        </c:marker>
      </c:pivotFmt>
      <c:pivotFmt>
        <c:idx val="4"/>
        <c:spPr>
          <a:ln w="31750" cap="rnd">
            <a:solidFill>
              <a:srgbClr val="F7353A"/>
            </a:solidFill>
            <a:round/>
          </a:ln>
          <a:effectLst/>
        </c:spPr>
        <c:marker>
          <c:symbol val="circle"/>
          <c:size val="17"/>
          <c:spPr>
            <a:solidFill>
              <a:srgbClr val="F7353A"/>
            </a:solidFill>
            <a:ln>
              <a:noFill/>
            </a:ln>
            <a:effectLst/>
          </c:spPr>
        </c:marker>
      </c:pivotFmt>
      <c:pivotFmt>
        <c:idx val="5"/>
        <c:spPr>
          <a:ln w="31750" cap="rnd">
            <a:solidFill>
              <a:srgbClr val="F7353A"/>
            </a:solidFill>
            <a:round/>
          </a:ln>
          <a:effectLst/>
        </c:spPr>
        <c:marker>
          <c:symbol val="circle"/>
          <c:size val="17"/>
          <c:spPr>
            <a:solidFill>
              <a:srgbClr val="F7353A"/>
            </a:solidFill>
            <a:ln>
              <a:noFill/>
            </a:ln>
            <a:effectLst/>
          </c:spPr>
        </c:marker>
        <c:dLbl>
          <c:idx val="0"/>
          <c:layout>
            <c:manualLayout>
              <c:x val="-4.3833333333333335E-2"/>
              <c:y val="9.2592592592592587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rgbClr val="8E5A14"/>
            </a:solidFill>
            <a:round/>
          </a:ln>
          <a:effectLst/>
        </c:spPr>
        <c:marker>
          <c:symbol val="circle"/>
          <c:size val="17"/>
          <c:spPr>
            <a:solidFill>
              <a:srgbClr val="8E5A14"/>
            </a:solidFill>
            <a:ln>
              <a:noFill/>
            </a:ln>
            <a:effectLst/>
          </c:spPr>
        </c:marker>
      </c:pivotFmt>
      <c:pivotFmt>
        <c:idx val="7"/>
        <c:spPr>
          <a:ln w="31750" cap="rnd">
            <a:solidFill>
              <a:srgbClr val="8E5A14"/>
            </a:solidFill>
            <a:round/>
          </a:ln>
          <a:effectLst/>
        </c:spPr>
        <c:marker>
          <c:symbol val="circle"/>
          <c:size val="17"/>
          <c:spPr>
            <a:solidFill>
              <a:srgbClr val="8E5A14"/>
            </a:solidFill>
            <a:ln>
              <a:noFill/>
            </a:ln>
            <a:effectLst/>
          </c:spPr>
        </c:marker>
      </c:pivotFmt>
    </c:pivotFmts>
    <c:plotArea>
      <c:layout/>
      <c:lineChart>
        <c:grouping val="standard"/>
        <c:varyColors val="0"/>
        <c:ser>
          <c:idx val="0"/>
          <c:order val="0"/>
          <c:tx>
            <c:strRef>
              <c:f>Hypertension!$B$16</c:f>
              <c:strCache>
                <c:ptCount val="1"/>
                <c:pt idx="0">
                  <c:v>PW with hypertension managed at institution </c:v>
                </c:pt>
              </c:strCache>
            </c:strRef>
          </c:tx>
          <c:spPr>
            <a:ln w="31750" cap="rnd">
              <a:solidFill>
                <a:srgbClr val="8E5A14"/>
              </a:solidFill>
              <a:round/>
            </a:ln>
            <a:effectLst/>
          </c:spPr>
          <c:marker>
            <c:symbol val="circle"/>
            <c:size val="17"/>
            <c:spPr>
              <a:solidFill>
                <a:srgbClr val="8E5A14"/>
              </a:solidFill>
              <a:ln>
                <a:noFill/>
              </a:ln>
              <a:effectLst/>
            </c:spPr>
          </c:marker>
          <c:dPt>
            <c:idx val="0"/>
            <c:marker>
              <c:symbol val="circle"/>
              <c:size val="17"/>
              <c:spPr>
                <a:solidFill>
                  <a:srgbClr val="8E5A14"/>
                </a:solidFill>
                <a:ln>
                  <a:noFill/>
                </a:ln>
                <a:effectLst/>
              </c:spPr>
            </c:marker>
            <c:bubble3D val="0"/>
            <c:extLst>
              <c:ext xmlns:c16="http://schemas.microsoft.com/office/drawing/2014/chart" uri="{C3380CC4-5D6E-409C-BE32-E72D297353CC}">
                <c16:uniqueId val="{00000005-A9EF-40BF-99DB-7DAD36A5DFEF}"/>
              </c:ext>
            </c:extLst>
          </c:dPt>
          <c:dPt>
            <c:idx val="1"/>
            <c:marker>
              <c:symbol val="circle"/>
              <c:size val="17"/>
              <c:spPr>
                <a:solidFill>
                  <a:srgbClr val="8E5A14"/>
                </a:solidFill>
                <a:ln>
                  <a:noFill/>
                </a:ln>
                <a:effectLst/>
              </c:spPr>
            </c:marker>
            <c:bubble3D val="0"/>
            <c:spPr>
              <a:ln w="31750" cap="rnd">
                <a:solidFill>
                  <a:srgbClr val="8E5A14"/>
                </a:solidFill>
                <a:round/>
              </a:ln>
              <a:effectLst/>
            </c:spPr>
            <c:extLst>
              <c:ext xmlns:c16="http://schemas.microsoft.com/office/drawing/2014/chart" uri="{C3380CC4-5D6E-409C-BE32-E72D297353CC}">
                <c16:uniqueId val="{00000003-A9EF-40BF-99DB-7DAD36A5DFEF}"/>
              </c:ext>
            </c:extLst>
          </c:dPt>
          <c:dPt>
            <c:idx val="2"/>
            <c:marker>
              <c:symbol val="circle"/>
              <c:size val="17"/>
              <c:spPr>
                <a:solidFill>
                  <a:srgbClr val="8E5A14"/>
                </a:solidFill>
                <a:ln>
                  <a:noFill/>
                </a:ln>
                <a:effectLst/>
              </c:spPr>
            </c:marker>
            <c:bubble3D val="0"/>
            <c:extLst>
              <c:ext xmlns:c16="http://schemas.microsoft.com/office/drawing/2014/chart" uri="{C3380CC4-5D6E-409C-BE32-E72D297353CC}">
                <c16:uniqueId val="{00000004-A9EF-40BF-99DB-7DAD36A5DFEF}"/>
              </c:ext>
            </c:extLst>
          </c:dPt>
          <c:dPt>
            <c:idx val="3"/>
            <c:marker>
              <c:symbol val="circle"/>
              <c:size val="17"/>
              <c:spPr>
                <a:solidFill>
                  <a:srgbClr val="8E5A14"/>
                </a:solidFill>
                <a:ln>
                  <a:noFill/>
                </a:ln>
                <a:effectLst/>
              </c:spPr>
            </c:marker>
            <c:bubble3D val="0"/>
            <c:extLst>
              <c:ext xmlns:c16="http://schemas.microsoft.com/office/drawing/2014/chart" uri="{C3380CC4-5D6E-409C-BE32-E72D297353CC}">
                <c16:uniqueId val="{00000008-A9EF-40BF-99DB-7DAD36A5DFEF}"/>
              </c:ext>
            </c:extLst>
          </c:dPt>
          <c:dPt>
            <c:idx val="4"/>
            <c:marker>
              <c:symbol val="circle"/>
              <c:size val="17"/>
              <c:spPr>
                <a:solidFill>
                  <a:srgbClr val="8E5A14"/>
                </a:solidFill>
                <a:ln>
                  <a:noFill/>
                </a:ln>
                <a:effectLst/>
              </c:spPr>
            </c:marker>
            <c:bubble3D val="0"/>
            <c:extLst>
              <c:ext xmlns:c16="http://schemas.microsoft.com/office/drawing/2014/chart" uri="{C3380CC4-5D6E-409C-BE32-E72D297353CC}">
                <c16:uniqueId val="{00000009-A9EF-40BF-99DB-7DAD36A5DFEF}"/>
              </c:ext>
            </c:extLst>
          </c:dPt>
          <c:dPt>
            <c:idx val="5"/>
            <c:marker>
              <c:symbol val="circle"/>
              <c:size val="17"/>
              <c:spPr>
                <a:solidFill>
                  <a:srgbClr val="8E5A14"/>
                </a:solidFill>
                <a:ln>
                  <a:noFill/>
                </a:ln>
                <a:effectLst/>
              </c:spPr>
            </c:marker>
            <c:bubble3D val="0"/>
            <c:extLst>
              <c:ext xmlns:c16="http://schemas.microsoft.com/office/drawing/2014/chart" uri="{C3380CC4-5D6E-409C-BE32-E72D297353CC}">
                <c16:uniqueId val="{00000007-A9EF-40BF-99DB-7DAD36A5DFEF}"/>
              </c:ext>
            </c:extLst>
          </c:dPt>
          <c:dLbls>
            <c:dLbl>
              <c:idx val="1"/>
              <c:layout>
                <c:manualLayout>
                  <c:x val="-5.0166666666666665E-2"/>
                  <c:y val="-7.4074074074074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9EF-40BF-99DB-7DAD36A5DFE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Hypertension!$A$17:$A$26</c:f>
              <c:multiLvlStrCache>
                <c:ptCount val="6"/>
                <c:lvl>
                  <c:pt idx="0">
                    <c:v>Private</c:v>
                  </c:pt>
                  <c:pt idx="1">
                    <c:v>Public</c:v>
                  </c:pt>
                  <c:pt idx="2">
                    <c:v>Private</c:v>
                  </c:pt>
                  <c:pt idx="3">
                    <c:v>Public</c:v>
                  </c:pt>
                  <c:pt idx="4">
                    <c:v>Private</c:v>
                  </c:pt>
                  <c:pt idx="5">
                    <c:v>Public</c:v>
                  </c:pt>
                </c:lvl>
                <c:lvl>
                  <c:pt idx="0">
                    <c:v>Karkal</c:v>
                  </c:pt>
                  <c:pt idx="2">
                    <c:v>Kundapura</c:v>
                  </c:pt>
                  <c:pt idx="4">
                    <c:v>Udupi</c:v>
                  </c:pt>
                </c:lvl>
              </c:multiLvlStrCache>
            </c:multiLvlStrRef>
          </c:cat>
          <c:val>
            <c:numRef>
              <c:f>Hypertension!$B$17:$B$26</c:f>
              <c:numCache>
                <c:formatCode>General</c:formatCode>
                <c:ptCount val="6"/>
                <c:pt idx="0">
                  <c:v>17</c:v>
                </c:pt>
                <c:pt idx="1">
                  <c:v>16</c:v>
                </c:pt>
                <c:pt idx="2">
                  <c:v>66</c:v>
                </c:pt>
                <c:pt idx="3">
                  <c:v>48</c:v>
                </c:pt>
                <c:pt idx="4">
                  <c:v>500</c:v>
                </c:pt>
                <c:pt idx="5">
                  <c:v>18</c:v>
                </c:pt>
              </c:numCache>
            </c:numRef>
          </c:val>
          <c:smooth val="0"/>
          <c:extLst>
            <c:ext xmlns:c16="http://schemas.microsoft.com/office/drawing/2014/chart" uri="{C3380CC4-5D6E-409C-BE32-E72D297353CC}">
              <c16:uniqueId val="{00000000-A9EF-40BF-99DB-7DAD36A5DFEF}"/>
            </c:ext>
          </c:extLst>
        </c:ser>
        <c:ser>
          <c:idx val="1"/>
          <c:order val="1"/>
          <c:tx>
            <c:strRef>
              <c:f>Hypertension!$C$16</c:f>
              <c:strCache>
                <c:ptCount val="1"/>
                <c:pt idx="0">
                  <c:v>PW having Eclampsia cases managed during delivery</c:v>
                </c:pt>
              </c:strCache>
            </c:strRef>
          </c:tx>
          <c:spPr>
            <a:ln w="31750" cap="rnd">
              <a:solidFill>
                <a:srgbClr val="F7353A"/>
              </a:solidFill>
              <a:round/>
            </a:ln>
            <a:effectLst/>
          </c:spPr>
          <c:marker>
            <c:symbol val="circle"/>
            <c:size val="17"/>
            <c:spPr>
              <a:solidFill>
                <a:srgbClr val="F7353A"/>
              </a:solidFill>
              <a:ln>
                <a:noFill/>
              </a:ln>
              <a:effectLst/>
            </c:spPr>
          </c:marker>
          <c:dPt>
            <c:idx val="1"/>
            <c:marker>
              <c:symbol val="circle"/>
              <c:size val="17"/>
              <c:spPr>
                <a:solidFill>
                  <a:srgbClr val="F7353A"/>
                </a:solidFill>
                <a:ln>
                  <a:noFill/>
                </a:ln>
                <a:effectLst/>
              </c:spPr>
            </c:marker>
            <c:bubble3D val="0"/>
            <c:spPr>
              <a:ln w="31750" cap="rnd">
                <a:solidFill>
                  <a:srgbClr val="F7353A"/>
                </a:solidFill>
                <a:round/>
              </a:ln>
              <a:effectLst/>
            </c:spPr>
            <c:extLst>
              <c:ext xmlns:c16="http://schemas.microsoft.com/office/drawing/2014/chart" uri="{C3380CC4-5D6E-409C-BE32-E72D297353CC}">
                <c16:uniqueId val="{00000006-A9EF-40BF-99DB-7DAD36A5DFEF}"/>
              </c:ext>
            </c:extLst>
          </c:dPt>
          <c:dLbls>
            <c:dLbl>
              <c:idx val="1"/>
              <c:layout>
                <c:manualLayout>
                  <c:x val="-4.3833333333333335E-2"/>
                  <c:y val="9.2592592592592587E-3"/>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9EF-40BF-99DB-7DAD36A5DFEF}"/>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Lato Black" panose="020F0A02020204030203" pitchFamily="34" charset="0"/>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multiLvlStrRef>
              <c:f>Hypertension!$A$17:$A$26</c:f>
              <c:multiLvlStrCache>
                <c:ptCount val="6"/>
                <c:lvl>
                  <c:pt idx="0">
                    <c:v>Private</c:v>
                  </c:pt>
                  <c:pt idx="1">
                    <c:v>Public</c:v>
                  </c:pt>
                  <c:pt idx="2">
                    <c:v>Private</c:v>
                  </c:pt>
                  <c:pt idx="3">
                    <c:v>Public</c:v>
                  </c:pt>
                  <c:pt idx="4">
                    <c:v>Private</c:v>
                  </c:pt>
                  <c:pt idx="5">
                    <c:v>Public</c:v>
                  </c:pt>
                </c:lvl>
                <c:lvl>
                  <c:pt idx="0">
                    <c:v>Karkal</c:v>
                  </c:pt>
                  <c:pt idx="2">
                    <c:v>Kundapura</c:v>
                  </c:pt>
                  <c:pt idx="4">
                    <c:v>Udupi</c:v>
                  </c:pt>
                </c:lvl>
              </c:multiLvlStrCache>
            </c:multiLvlStrRef>
          </c:cat>
          <c:val>
            <c:numRef>
              <c:f>Hypertension!$C$17:$C$26</c:f>
              <c:numCache>
                <c:formatCode>General</c:formatCode>
                <c:ptCount val="6"/>
                <c:pt idx="0">
                  <c:v>1</c:v>
                </c:pt>
                <c:pt idx="1">
                  <c:v>2</c:v>
                </c:pt>
                <c:pt idx="2">
                  <c:v>2</c:v>
                </c:pt>
                <c:pt idx="3">
                  <c:v>0</c:v>
                </c:pt>
                <c:pt idx="4">
                  <c:v>24</c:v>
                </c:pt>
                <c:pt idx="5">
                  <c:v>0</c:v>
                </c:pt>
              </c:numCache>
            </c:numRef>
          </c:val>
          <c:smooth val="0"/>
          <c:extLst>
            <c:ext xmlns:c16="http://schemas.microsoft.com/office/drawing/2014/chart" uri="{C3380CC4-5D6E-409C-BE32-E72D297353CC}">
              <c16:uniqueId val="{00000001-A9EF-40BF-99DB-7DAD36A5DFEF}"/>
            </c:ext>
          </c:extLst>
        </c:ser>
        <c:dLbls>
          <c:dLblPos val="ctr"/>
          <c:showLegendKey val="0"/>
          <c:showVal val="1"/>
          <c:showCatName val="0"/>
          <c:showSerName val="0"/>
          <c:showPercent val="0"/>
          <c:showBubbleSize val="0"/>
        </c:dLbls>
        <c:hiLowLines>
          <c:spPr>
            <a:ln w="9525">
              <a:solidFill>
                <a:schemeClr val="dk1">
                  <a:lumMod val="35000"/>
                  <a:lumOff val="65000"/>
                </a:schemeClr>
              </a:solidFill>
              <a:prstDash val="dash"/>
            </a:ln>
            <a:effectLst/>
          </c:spPr>
        </c:hiLowLines>
        <c:marker val="1"/>
        <c:smooth val="0"/>
        <c:axId val="632401407"/>
        <c:axId val="632418207"/>
      </c:lineChart>
      <c:catAx>
        <c:axId val="632401407"/>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32418207"/>
        <c:crosses val="autoZero"/>
        <c:auto val="1"/>
        <c:lblAlgn val="ctr"/>
        <c:lblOffset val="100"/>
        <c:noMultiLvlLbl val="0"/>
      </c:catAx>
      <c:valAx>
        <c:axId val="632418207"/>
        <c:scaling>
          <c:orientation val="minMax"/>
          <c:max val="520"/>
          <c:min val="0"/>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632401407"/>
        <c:crosses val="autoZero"/>
        <c:crossBetween val="between"/>
        <c:majorUnit val="65"/>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[ANC_Healthcare_Dashboard.xlsx]Hb records!Hb records2</c:name>
    <c:fmtId val="0"/>
  </c:pivotSource>
  <c:chart>
    <c:autoTitleDeleted val="1"/>
    <c:pivotFmts>
      <c:pivotFmt>
        <c:idx val="0"/>
        <c:spPr>
          <a:gradFill>
            <a:gsLst>
              <a:gs pos="0">
                <a:schemeClr val="accent1">
                  <a:lumMod val="80000"/>
                </a:schemeClr>
              </a:gs>
              <a:gs pos="100000">
                <a:schemeClr val="accent2">
                  <a:lumMod val="20000"/>
                  <a:lumOff val="80000"/>
                </a:schemeClr>
              </a:gs>
            </a:gsLst>
            <a:lin ang="5400000" scaled="1"/>
          </a:gra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EC52C7"/>
              </a:gs>
              <a:gs pos="100000">
                <a:srgbClr val="FF0000"/>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rgbClr val="FCFC42"/>
              </a:gs>
              <a:gs pos="100000">
                <a:srgbClr val="006600"/>
              </a:gs>
            </a:gsLst>
            <a:lin ang="2700000" scaled="1"/>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s>
    <c:plotArea>
      <c:layout/>
      <c:barChart>
        <c:barDir val="col"/>
        <c:grouping val="clustered"/>
        <c:varyColors val="0"/>
        <c:ser>
          <c:idx val="0"/>
          <c:order val="0"/>
          <c:tx>
            <c:strRef>
              <c:f>'Hb records'!$B$10</c:f>
              <c:strCache>
                <c:ptCount val="1"/>
                <c:pt idx="0">
                  <c:v>PW having Hb level&lt;=7 g/dl</c:v>
                </c:pt>
              </c:strCache>
            </c:strRef>
          </c:tx>
          <c:spPr>
            <a:gradFill flip="none" rotWithShape="1">
              <a:gsLst>
                <a:gs pos="0">
                  <a:srgbClr val="EC52C7"/>
                </a:gs>
                <a:gs pos="100000">
                  <a:srgbClr val="FF0000"/>
                </a:gs>
              </a:gsLst>
              <a:lin ang="27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'Hb records'!$A$11:$A$14</c:f>
              <c:strCache>
                <c:ptCount val="3"/>
                <c:pt idx="0">
                  <c:v>Karkal</c:v>
                </c:pt>
                <c:pt idx="1">
                  <c:v>Kundapura</c:v>
                </c:pt>
                <c:pt idx="2">
                  <c:v>Udupi</c:v>
                </c:pt>
              </c:strCache>
            </c:strRef>
          </c:cat>
          <c:val>
            <c:numRef>
              <c:f>'Hb records'!$B$11:$B$14</c:f>
              <c:numCache>
                <c:formatCode>General</c:formatCode>
                <c:ptCount val="3"/>
                <c:pt idx="0">
                  <c:v>25</c:v>
                </c:pt>
                <c:pt idx="1">
                  <c:v>23</c:v>
                </c:pt>
                <c:pt idx="2">
                  <c:v>153</c:v>
                </c:pt>
              </c:numCache>
            </c:numRef>
          </c:val>
          <c:extLst>
            <c:ext xmlns:c16="http://schemas.microsoft.com/office/drawing/2014/chart" uri="{C3380CC4-5D6E-409C-BE32-E72D297353CC}">
              <c16:uniqueId val="{00000000-A835-43B3-9004-74C4FB52EB2B}"/>
            </c:ext>
          </c:extLst>
        </c:ser>
        <c:ser>
          <c:idx val="1"/>
          <c:order val="1"/>
          <c:tx>
            <c:strRef>
              <c:f>'Hb records'!$C$10</c:f>
              <c:strCache>
                <c:ptCount val="1"/>
                <c:pt idx="0">
                  <c:v>PW treated for severe anaemia (Hb&lt;=7g/dl)</c:v>
                </c:pt>
              </c:strCache>
            </c:strRef>
          </c:tx>
          <c:spPr>
            <a:gradFill>
              <a:gsLst>
                <a:gs pos="0">
                  <a:srgbClr val="FCFC42"/>
                </a:gs>
                <a:gs pos="100000">
                  <a:srgbClr val="006600"/>
                </a:gs>
              </a:gsLst>
              <a:lin ang="270000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'Hb records'!$A$11:$A$14</c:f>
              <c:strCache>
                <c:ptCount val="3"/>
                <c:pt idx="0">
                  <c:v>Karkal</c:v>
                </c:pt>
                <c:pt idx="1">
                  <c:v>Kundapura</c:v>
                </c:pt>
                <c:pt idx="2">
                  <c:v>Udupi</c:v>
                </c:pt>
              </c:strCache>
            </c:strRef>
          </c:cat>
          <c:val>
            <c:numRef>
              <c:f>'Hb records'!$C$11:$C$14</c:f>
              <c:numCache>
                <c:formatCode>General</c:formatCode>
                <c:ptCount val="3"/>
                <c:pt idx="0">
                  <c:v>23</c:v>
                </c:pt>
                <c:pt idx="1">
                  <c:v>30</c:v>
                </c:pt>
                <c:pt idx="2">
                  <c:v>152</c:v>
                </c:pt>
              </c:numCache>
            </c:numRef>
          </c:val>
          <c:extLst>
            <c:ext xmlns:c16="http://schemas.microsoft.com/office/drawing/2014/chart" uri="{C3380CC4-5D6E-409C-BE32-E72D297353CC}">
              <c16:uniqueId val="{00000001-A835-43B3-9004-74C4FB52EB2B}"/>
            </c:ext>
          </c:extLst>
        </c:ser>
        <c:dLbls>
          <c:showLegendKey val="0"/>
          <c:showVal val="1"/>
          <c:showCatName val="0"/>
          <c:showSerName val="0"/>
          <c:showPercent val="0"/>
          <c:showBubbleSize val="0"/>
        </c:dLbls>
        <c:gapWidth val="75"/>
        <c:axId val="1299608015"/>
        <c:axId val="1299607535"/>
      </c:barChart>
      <c:catAx>
        <c:axId val="12996080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crossAx val="1299607535"/>
        <c:crosses val="autoZero"/>
        <c:auto val="1"/>
        <c:lblAlgn val="ctr"/>
        <c:lblOffset val="100"/>
        <c:noMultiLvlLbl val="0"/>
      </c:catAx>
      <c:valAx>
        <c:axId val="129960753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crossAx val="129960801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Lato Black" panose="020F0A02020204030203"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Diabetics!$B$20</c:f>
              <c:strCache>
                <c:ptCount val="1"/>
                <c:pt idx="0">
                  <c:v>PW tested positive for GDM out of total OGTT</c:v>
                </c:pt>
              </c:strCache>
            </c:strRef>
          </c:tx>
          <c:spPr>
            <a:gradFill flip="none" rotWithShape="1">
              <a:gsLst>
                <a:gs pos="0">
                  <a:srgbClr val="FFFFCC"/>
                </a:gs>
                <a:gs pos="100000">
                  <a:srgbClr val="FF0000"/>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Diabetics!$B$21:$B$23</c:f>
              <c:numCache>
                <c:formatCode>General</c:formatCode>
                <c:ptCount val="3"/>
                <c:pt idx="0">
                  <c:v>48</c:v>
                </c:pt>
                <c:pt idx="1">
                  <c:v>151</c:v>
                </c:pt>
                <c:pt idx="2">
                  <c:v>900</c:v>
                </c:pt>
              </c:numCache>
            </c:numRef>
          </c:val>
          <c:shape val="cylinder"/>
          <c:extLst>
            <c:ext xmlns:c16="http://schemas.microsoft.com/office/drawing/2014/chart" uri="{C3380CC4-5D6E-409C-BE32-E72D297353CC}">
              <c16:uniqueId val="{00000000-B471-43C9-BC8F-9B1F1E9F6A31}"/>
            </c:ext>
          </c:extLst>
        </c:ser>
        <c:ser>
          <c:idx val="1"/>
          <c:order val="1"/>
          <c:tx>
            <c:strRef>
              <c:f>Diabetics!$C$20</c:f>
              <c:strCache>
                <c:ptCount val="1"/>
                <c:pt idx="0">
                  <c:v>PW given Insulin out of total tested positive for GDM</c:v>
                </c:pt>
              </c:strCache>
            </c:strRef>
          </c:tx>
          <c:spPr>
            <a:gradFill flip="none" rotWithShape="1">
              <a:gsLst>
                <a:gs pos="0">
                  <a:srgbClr val="65B2FF"/>
                </a:gs>
                <a:gs pos="100000">
                  <a:srgbClr val="FF0000"/>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Diabetics!$C$21:$C$23</c:f>
              <c:numCache>
                <c:formatCode>General</c:formatCode>
                <c:ptCount val="3"/>
                <c:pt idx="0">
                  <c:v>17</c:v>
                </c:pt>
                <c:pt idx="1">
                  <c:v>47</c:v>
                </c:pt>
                <c:pt idx="2">
                  <c:v>206</c:v>
                </c:pt>
              </c:numCache>
            </c:numRef>
          </c:val>
          <c:shape val="cone"/>
          <c:extLst>
            <c:ext xmlns:c16="http://schemas.microsoft.com/office/drawing/2014/chart" uri="{C3380CC4-5D6E-409C-BE32-E72D297353CC}">
              <c16:uniqueId val="{00000001-B471-43C9-BC8F-9B1F1E9F6A31}"/>
            </c:ext>
          </c:extLst>
        </c:ser>
        <c:ser>
          <c:idx val="2"/>
          <c:order val="2"/>
          <c:tx>
            <c:strRef>
              <c:f>Diabetics!$D$20</c:f>
              <c:strCache>
                <c:ptCount val="1"/>
                <c:pt idx="0">
                  <c:v>PW given Metformin out of total tested positive for GDM</c:v>
                </c:pt>
              </c:strCache>
            </c:strRef>
          </c:tx>
          <c:spPr>
            <a:gradFill>
              <a:gsLst>
                <a:gs pos="0">
                  <a:schemeClr val="accent2">
                    <a:lumMod val="20000"/>
                    <a:lumOff val="80000"/>
                  </a:schemeClr>
                </a:gs>
                <a:gs pos="100000">
                  <a:srgbClr val="FF0000"/>
                </a:gs>
              </a:gsLst>
              <a:lin ang="10800000" scaled="1"/>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Diabetics!$A$21:$A$23</c:f>
              <c:strCache>
                <c:ptCount val="3"/>
                <c:pt idx="0">
                  <c:v>Karkal</c:v>
                </c:pt>
                <c:pt idx="1">
                  <c:v>Kundapura</c:v>
                </c:pt>
                <c:pt idx="2">
                  <c:v>Udupi</c:v>
                </c:pt>
              </c:strCache>
            </c:strRef>
          </c:cat>
          <c:val>
            <c:numRef>
              <c:f>Diabetics!$D$21:$D$23</c:f>
              <c:numCache>
                <c:formatCode>General</c:formatCode>
                <c:ptCount val="3"/>
                <c:pt idx="0">
                  <c:v>78</c:v>
                </c:pt>
                <c:pt idx="1">
                  <c:v>107</c:v>
                </c:pt>
                <c:pt idx="2">
                  <c:v>315</c:v>
                </c:pt>
              </c:numCache>
            </c:numRef>
          </c:val>
          <c:shape val="pyramid"/>
          <c:extLst>
            <c:ext xmlns:c16="http://schemas.microsoft.com/office/drawing/2014/chart" uri="{C3380CC4-5D6E-409C-BE32-E72D297353CC}">
              <c16:uniqueId val="{00000002-B471-43C9-BC8F-9B1F1E9F6A31}"/>
            </c:ext>
          </c:extLst>
        </c:ser>
        <c:dLbls>
          <c:showLegendKey val="0"/>
          <c:showVal val="1"/>
          <c:showCatName val="0"/>
          <c:showSerName val="0"/>
          <c:showPercent val="0"/>
          <c:showBubbleSize val="0"/>
        </c:dLbls>
        <c:gapWidth val="150"/>
        <c:shape val="box"/>
        <c:axId val="1466629472"/>
        <c:axId val="1466622752"/>
        <c:axId val="0"/>
      </c:bar3DChart>
      <c:catAx>
        <c:axId val="1466629472"/>
        <c:scaling>
          <c:orientation val="minMax"/>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22752"/>
        <c:crosses val="autoZero"/>
        <c:auto val="1"/>
        <c:lblAlgn val="ctr"/>
        <c:lblOffset val="100"/>
        <c:noMultiLvlLbl val="0"/>
      </c:catAx>
      <c:valAx>
        <c:axId val="1466622752"/>
        <c:scaling>
          <c:orientation val="minMax"/>
          <c:max val="900"/>
          <c:min val="15"/>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6629472"/>
        <c:crosses val="autoZero"/>
        <c:crossBetween val="between"/>
        <c:majorUnit val="125"/>
      </c:valAx>
      <c:spPr>
        <a:noFill/>
        <a:ln>
          <a:noFill/>
        </a:ln>
        <a:effectLst/>
      </c:spPr>
    </c:plotArea>
    <c:legend>
      <c:legendPos val="b"/>
      <c:layout>
        <c:manualLayout>
          <c:xMode val="edge"/>
          <c:yMode val="edge"/>
          <c:x val="0.12939851268591426"/>
          <c:y val="0.74479002624671919"/>
          <c:w val="0.67453608923884512"/>
          <c:h val="0.2274321959755030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mn-cs"/>
              </a:defRPr>
            </a:pPr>
            <a:r>
              <a:rPr lang="en-IN" sz="900">
                <a:solidFill>
                  <a:sysClr val="windowText" lastClr="000000"/>
                </a:solidFill>
                <a:latin typeface="Lato Black" panose="020F0A02020204030203" pitchFamily="34" charset="0"/>
              </a:rPr>
              <a:t>Antepartum</a:t>
            </a:r>
          </a:p>
        </c:rich>
      </c:tx>
      <c:overlay val="0"/>
      <c:spPr>
        <a:noFill/>
        <a:ln>
          <a:solidFill>
            <a:schemeClr val="tx1"/>
          </a:solidFill>
        </a:ln>
        <a:effectLst/>
      </c:spPr>
      <c:txPr>
        <a:bodyPr rot="0" spcFirstLastPara="1" vertOverflow="ellipsis" vert="horz" wrap="square" anchor="ctr" anchorCtr="1"/>
        <a:lstStyle/>
        <a:p>
          <a:pPr>
            <a:defRPr sz="900" b="0" i="0" u="none" strike="noStrike" kern="1200" spc="0" baseline="0">
              <a:solidFill>
                <a:sysClr val="windowText" lastClr="000000"/>
              </a:solidFill>
              <a:latin typeface="Lato Black" panose="020F0A02020204030203" pitchFamily="34" charset="0"/>
              <a:ea typeface="+mn-ea"/>
              <a:cs typeface="+mn-cs"/>
            </a:defRPr>
          </a:pPr>
          <a:endParaRPr lang="en-US"/>
        </a:p>
      </c:txPr>
    </c:title>
    <c:autoTitleDeleted val="0"/>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897D-464F-8415-5BB6251E1F64}"/>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897D-464F-8415-5BB6251E1F64}"/>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897D-464F-8415-5BB6251E1F64}"/>
              </c:ext>
            </c:extLst>
          </c:dPt>
          <c:dLbls>
            <c:dLbl>
              <c:idx val="0"/>
              <c:layout>
                <c:manualLayout>
                  <c:x val="0.13458488741538888"/>
                  <c:y val="-0.11402296087034922"/>
                </c:manualLayout>
              </c:layout>
              <c:showLegendKey val="0"/>
              <c:showVal val="0"/>
              <c:showCatName val="1"/>
              <c:showSerName val="0"/>
              <c:showPercent val="1"/>
              <c:showBubbleSize val="0"/>
              <c:extLst>
                <c:ext xmlns:c15="http://schemas.microsoft.com/office/drawing/2012/chart" uri="{CE6537A1-D6FC-4f65-9D91-7224C49458BB}">
                  <c15:layout>
                    <c:manualLayout>
                      <c:w val="0.20407303370786517"/>
                      <c:h val="0.21961301671064204"/>
                    </c:manualLayout>
                  </c15:layout>
                </c:ext>
                <c:ext xmlns:c16="http://schemas.microsoft.com/office/drawing/2014/chart" uri="{C3380CC4-5D6E-409C-BE32-E72D297353CC}">
                  <c16:uniqueId val="{00000003-897D-464F-8415-5BB6251E1F64}"/>
                </c:ext>
              </c:extLst>
            </c:dLbl>
            <c:dLbl>
              <c:idx val="1"/>
              <c:layout>
                <c:manualLayout>
                  <c:x val="0.18138532025602064"/>
                  <c:y val="0.11308295432536573"/>
                </c:manualLayout>
              </c:layout>
              <c:showLegendKey val="0"/>
              <c:showVal val="0"/>
              <c:showCatName val="1"/>
              <c:showSerName val="0"/>
              <c:showPercent val="1"/>
              <c:showBubbleSize val="0"/>
              <c:extLst>
                <c:ext xmlns:c15="http://schemas.microsoft.com/office/drawing/2012/chart" uri="{CE6537A1-D6FC-4f65-9D91-7224C49458BB}">
                  <c15:layout>
                    <c:manualLayout>
                      <c:w val="0.30325392963520004"/>
                      <c:h val="0.31622725919154565"/>
                    </c:manualLayout>
                  </c15:layout>
                </c:ext>
                <c:ext xmlns:c16="http://schemas.microsoft.com/office/drawing/2014/chart" uri="{C3380CC4-5D6E-409C-BE32-E72D297353CC}">
                  <c16:uniqueId val="{00000002-897D-464F-8415-5BB6251E1F64}"/>
                </c:ext>
              </c:extLst>
            </c:dLbl>
            <c:dLbl>
              <c:idx val="2"/>
              <c:layout>
                <c:manualLayout>
                  <c:x val="-0.13108595800524936"/>
                  <c:y val="-6.1565523306948068E-2"/>
                </c:manualLayout>
              </c:layout>
              <c:showLegendKey val="0"/>
              <c:showVal val="0"/>
              <c:showCatName val="1"/>
              <c:showSerName val="0"/>
              <c:showPercent val="1"/>
              <c:showBubbleSize val="0"/>
              <c:extLst>
                <c:ext xmlns:c15="http://schemas.microsoft.com/office/drawing/2012/chart" uri="{CE6537A1-D6FC-4f65-9D91-7224C49458BB}">
                  <c15:layout>
                    <c:manualLayout>
                      <c:w val="0.17804307116104867"/>
                      <c:h val="0.21961301671064204"/>
                    </c:manualLayout>
                  </c15:layout>
                </c:ext>
                <c:ext xmlns:c16="http://schemas.microsoft.com/office/drawing/2014/chart" uri="{C3380CC4-5D6E-409C-BE32-E72D297353CC}">
                  <c16:uniqueId val="{00000001-897D-464F-8415-5BB6251E1F6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HRP!$D$21:$D$23</c:f>
              <c:strCache>
                <c:ptCount val="3"/>
                <c:pt idx="0">
                  <c:v>Karkal</c:v>
                </c:pt>
                <c:pt idx="1">
                  <c:v>Kundapura</c:v>
                </c:pt>
                <c:pt idx="2">
                  <c:v>Udupi</c:v>
                </c:pt>
              </c:strCache>
            </c:strRef>
          </c:cat>
          <c:val>
            <c:numRef>
              <c:f>HRP!$E$21:$E$23</c:f>
              <c:numCache>
                <c:formatCode>General</c:formatCode>
                <c:ptCount val="3"/>
                <c:pt idx="0">
                  <c:v>426</c:v>
                </c:pt>
                <c:pt idx="1">
                  <c:v>1199</c:v>
                </c:pt>
                <c:pt idx="2">
                  <c:v>1353</c:v>
                </c:pt>
              </c:numCache>
            </c:numRef>
          </c:val>
          <c:extLst>
            <c:ext xmlns:c16="http://schemas.microsoft.com/office/drawing/2014/chart" uri="{C3380CC4-5D6E-409C-BE32-E72D297353CC}">
              <c16:uniqueId val="{00000000-897D-464F-8415-5BB6251E1F64}"/>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900" b="0" i="0" u="none" strike="noStrike" kern="1200" spc="0" baseline="0">
                <a:solidFill>
                  <a:schemeClr val="tx1">
                    <a:lumMod val="65000"/>
                    <a:lumOff val="35000"/>
                  </a:schemeClr>
                </a:solidFill>
                <a:latin typeface="Lato Black" panose="020F0A02020204030203" pitchFamily="34" charset="0"/>
                <a:ea typeface="+mn-ea"/>
                <a:cs typeface="Latha" panose="020B0502040204020203" pitchFamily="34" charset="0"/>
              </a:defRPr>
            </a:pPr>
            <a:r>
              <a:rPr lang="en-IN" sz="900">
                <a:latin typeface="Lato Black" panose="020F0A02020204030203" pitchFamily="34" charset="0"/>
                <a:cs typeface="Latha" panose="020B0502040204020203" pitchFamily="34" charset="0"/>
              </a:rPr>
              <a:t>Intrapartum</a:t>
            </a:r>
          </a:p>
        </c:rich>
      </c:tx>
      <c:overlay val="0"/>
      <c:spPr>
        <a:noFill/>
        <a:ln>
          <a:solidFill>
            <a:schemeClr val="tx1"/>
          </a:solidFill>
        </a:ln>
        <a:effectLst/>
      </c:spPr>
      <c:txPr>
        <a:bodyPr rot="0" spcFirstLastPara="1" vertOverflow="ellipsis" vert="horz" wrap="square" anchor="ctr" anchorCtr="1"/>
        <a:lstStyle/>
        <a:p>
          <a:pPr>
            <a:defRPr sz="900" b="0" i="0" u="none" strike="noStrike" kern="1200" spc="0" baseline="0">
              <a:solidFill>
                <a:schemeClr val="tx1">
                  <a:lumMod val="65000"/>
                  <a:lumOff val="35000"/>
                </a:schemeClr>
              </a:solidFill>
              <a:latin typeface="Lato Black" panose="020F0A02020204030203" pitchFamily="34" charset="0"/>
              <a:ea typeface="+mn-ea"/>
              <a:cs typeface="Latha" panose="020B0502040204020203" pitchFamily="34" charset="0"/>
            </a:defRPr>
          </a:pPr>
          <a:endParaRPr lang="en-US"/>
        </a:p>
      </c:txPr>
    </c:title>
    <c:autoTitleDeleted val="0"/>
    <c:plotArea>
      <c:layout>
        <c:manualLayout>
          <c:layoutTarget val="inner"/>
          <c:xMode val="edge"/>
          <c:yMode val="edge"/>
          <c:x val="0.30933296480560163"/>
          <c:y val="0.39322916666666669"/>
          <c:w val="0.39303482587064675"/>
          <c:h val="0.56971153846153844"/>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923-4E74-A270-412C991AF7F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923-4E74-A270-412C991AF7F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1-D923-4E74-A270-412C991AF7F6}"/>
              </c:ext>
            </c:extLst>
          </c:dPt>
          <c:dLbls>
            <c:dLbl>
              <c:idx val="0"/>
              <c:layout>
                <c:manualLayout>
                  <c:x val="2.7962502303298376E-2"/>
                  <c:y val="-0.1707204861111111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2530403537866226"/>
                      <c:h val="0.2532164797008547"/>
                    </c:manualLayout>
                  </c15:layout>
                </c:ext>
                <c:ext xmlns:c16="http://schemas.microsoft.com/office/drawing/2014/chart" uri="{C3380CC4-5D6E-409C-BE32-E72D297353CC}">
                  <c16:uniqueId val="{00000003-D923-4E74-A270-412C991AF7F6}"/>
                </c:ext>
              </c:extLst>
            </c:dLbl>
            <c:dLbl>
              <c:idx val="1"/>
              <c:layout>
                <c:manualLayout>
                  <c:x val="0.18294753086419743"/>
                  <c:y val="8.1584201388888888E-2"/>
                </c:manualLayout>
              </c:layout>
              <c:showLegendKey val="0"/>
              <c:showVal val="0"/>
              <c:showCatName val="1"/>
              <c:showSerName val="0"/>
              <c:showPercent val="1"/>
              <c:showBubbleSize val="0"/>
              <c:extLst>
                <c:ext xmlns:c15="http://schemas.microsoft.com/office/drawing/2012/chart" uri="{CE6537A1-D6FC-4f65-9D91-7224C49458BB}">
                  <c15:layout>
                    <c:manualLayout>
                      <c:w val="0.3009383426047853"/>
                      <c:h val="0.26692679562048061"/>
                    </c:manualLayout>
                  </c15:layout>
                </c:ext>
                <c:ext xmlns:c16="http://schemas.microsoft.com/office/drawing/2014/chart" uri="{C3380CC4-5D6E-409C-BE32-E72D297353CC}">
                  <c16:uniqueId val="{00000002-D923-4E74-A270-412C991AF7F6}"/>
                </c:ext>
              </c:extLst>
            </c:dLbl>
            <c:dLbl>
              <c:idx val="2"/>
              <c:layout>
                <c:manualLayout>
                  <c:x val="-0.13595137383490841"/>
                  <c:y val="-3.3965485831524922E-2"/>
                </c:manualLayout>
              </c:layout>
              <c:spPr>
                <a:noFill/>
                <a:ln>
                  <a:noFill/>
                </a:ln>
                <a:effectLst/>
              </c:spPr>
              <c:txPr>
                <a:bodyPr rot="0" spcFirstLastPara="1" vertOverflow="ellipsis" vert="horz" wrap="square" lIns="38100" tIns="19050" rIns="38100" bIns="19050" anchor="ctr" anchorCtr="1">
                  <a:no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571955039616731"/>
                      <c:h val="0.29561765491452996"/>
                    </c:manualLayout>
                  </c15:layout>
                </c:ext>
                <c:ext xmlns:c16="http://schemas.microsoft.com/office/drawing/2014/chart" uri="{C3380CC4-5D6E-409C-BE32-E72D297353CC}">
                  <c16:uniqueId val="{00000001-D923-4E74-A270-412C991AF7F6}"/>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Lato Black" panose="020F0A02020204030203" pitchFamily="34" charset="0"/>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HRP!$D$2:$D$4</c:f>
              <c:strCache>
                <c:ptCount val="3"/>
                <c:pt idx="0">
                  <c:v>Karkal</c:v>
                </c:pt>
                <c:pt idx="1">
                  <c:v>Kundapura</c:v>
                </c:pt>
                <c:pt idx="2">
                  <c:v>Udupi</c:v>
                </c:pt>
              </c:strCache>
            </c:strRef>
          </c:cat>
          <c:val>
            <c:numRef>
              <c:f>HRP!$E$2:$E$4</c:f>
              <c:numCache>
                <c:formatCode>General</c:formatCode>
                <c:ptCount val="3"/>
                <c:pt idx="0">
                  <c:v>10</c:v>
                </c:pt>
                <c:pt idx="1">
                  <c:v>141</c:v>
                </c:pt>
                <c:pt idx="2">
                  <c:v>76</c:v>
                </c:pt>
              </c:numCache>
            </c:numRef>
          </c:val>
          <c:extLst>
            <c:ext xmlns:c16="http://schemas.microsoft.com/office/drawing/2014/chart" uri="{C3380CC4-5D6E-409C-BE32-E72D297353CC}">
              <c16:uniqueId val="{00000000-D923-4E74-A270-412C991AF7F6}"/>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HRP!$B$30</c:f>
              <c:strCache>
                <c:ptCount val="1"/>
                <c:pt idx="0">
                  <c:v>PW with Post-Partum Haemorrhage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HRP!$B$31:$B$33</c:f>
              <c:numCache>
                <c:formatCode>General</c:formatCode>
                <c:ptCount val="3"/>
                <c:pt idx="0">
                  <c:v>9</c:v>
                </c:pt>
                <c:pt idx="1">
                  <c:v>17</c:v>
                </c:pt>
                <c:pt idx="2">
                  <c:v>20</c:v>
                </c:pt>
              </c:numCache>
            </c:numRef>
          </c:val>
          <c:extLst>
            <c:ext xmlns:c16="http://schemas.microsoft.com/office/drawing/2014/chart" uri="{C3380CC4-5D6E-409C-BE32-E72D297353CC}">
              <c16:uniqueId val="{00000000-12D1-49B1-8B0C-655A6B96BCC6}"/>
            </c:ext>
          </c:extLst>
        </c:ser>
        <c:ser>
          <c:idx val="1"/>
          <c:order val="1"/>
          <c:tx>
            <c:strRef>
              <c:f>HRP!$C$30</c:f>
              <c:strCache>
                <c:ptCount val="1"/>
                <c:pt idx="0">
                  <c:v>PW with Sepsis in the facility.</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HRP!$C$31:$C$33</c:f>
              <c:numCache>
                <c:formatCode>General</c:formatCode>
                <c:ptCount val="3"/>
                <c:pt idx="0">
                  <c:v>0</c:v>
                </c:pt>
                <c:pt idx="1">
                  <c:v>7</c:v>
                </c:pt>
                <c:pt idx="2">
                  <c:v>0</c:v>
                </c:pt>
              </c:numCache>
            </c:numRef>
          </c:val>
          <c:extLst>
            <c:ext xmlns:c16="http://schemas.microsoft.com/office/drawing/2014/chart" uri="{C3380CC4-5D6E-409C-BE32-E72D297353CC}">
              <c16:uniqueId val="{00000001-12D1-49B1-8B0C-655A6B96BCC6}"/>
            </c:ext>
          </c:extLst>
        </c:ser>
        <c:ser>
          <c:idx val="2"/>
          <c:order val="2"/>
          <c:tx>
            <c:strRef>
              <c:f>HRP!$D$30</c:f>
              <c:strCache>
                <c:ptCount val="1"/>
                <c:pt idx="0">
                  <c:v>PW identified with Eclampsia</c:v>
                </c:pt>
              </c:strCache>
            </c:strRef>
          </c:tx>
          <c:spPr>
            <a:solidFill>
              <a:schemeClr val="accent3"/>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HRP!$D$31:$D$33</c:f>
              <c:numCache>
                <c:formatCode>General</c:formatCode>
                <c:ptCount val="3"/>
                <c:pt idx="0">
                  <c:v>1</c:v>
                </c:pt>
                <c:pt idx="1">
                  <c:v>0</c:v>
                </c:pt>
                <c:pt idx="2">
                  <c:v>20</c:v>
                </c:pt>
              </c:numCache>
            </c:numRef>
          </c:val>
          <c:extLst>
            <c:ext xmlns:c16="http://schemas.microsoft.com/office/drawing/2014/chart" uri="{C3380CC4-5D6E-409C-BE32-E72D297353CC}">
              <c16:uniqueId val="{00000002-12D1-49B1-8B0C-655A6B96BCC6}"/>
            </c:ext>
          </c:extLst>
        </c:ser>
        <c:ser>
          <c:idx val="3"/>
          <c:order val="3"/>
          <c:tx>
            <c:strRef>
              <c:f>HRP!$E$30</c:f>
              <c:strCache>
                <c:ptCount val="1"/>
                <c:pt idx="0">
                  <c:v>PW identified with obstructed labour</c:v>
                </c:pt>
              </c:strCache>
            </c:strRef>
          </c:tx>
          <c:spPr>
            <a:solidFill>
              <a:schemeClr val="accent4"/>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HRP!$A$31:$A$33</c:f>
              <c:strCache>
                <c:ptCount val="3"/>
                <c:pt idx="0">
                  <c:v>Karkal</c:v>
                </c:pt>
                <c:pt idx="1">
                  <c:v>Kundapura</c:v>
                </c:pt>
                <c:pt idx="2">
                  <c:v>Udupi</c:v>
                </c:pt>
              </c:strCache>
            </c:strRef>
          </c:cat>
          <c:val>
            <c:numRef>
              <c:f>HRP!$E$31:$E$33</c:f>
              <c:numCache>
                <c:formatCode>General</c:formatCode>
                <c:ptCount val="3"/>
                <c:pt idx="0">
                  <c:v>0</c:v>
                </c:pt>
                <c:pt idx="1">
                  <c:v>117</c:v>
                </c:pt>
                <c:pt idx="2">
                  <c:v>36</c:v>
                </c:pt>
              </c:numCache>
            </c:numRef>
          </c:val>
          <c:extLst>
            <c:ext xmlns:c16="http://schemas.microsoft.com/office/drawing/2014/chart" uri="{C3380CC4-5D6E-409C-BE32-E72D297353CC}">
              <c16:uniqueId val="{00000003-12D1-49B1-8B0C-655A6B96BCC6}"/>
            </c:ext>
          </c:extLst>
        </c:ser>
        <c:dLbls>
          <c:showLegendKey val="0"/>
          <c:showVal val="1"/>
          <c:showCatName val="0"/>
          <c:showSerName val="0"/>
          <c:showPercent val="0"/>
          <c:showBubbleSize val="0"/>
        </c:dLbls>
        <c:gapWidth val="150"/>
        <c:shape val="box"/>
        <c:axId val="1460250832"/>
        <c:axId val="1460248432"/>
        <c:axId val="0"/>
      </c:bar3DChart>
      <c:catAx>
        <c:axId val="14602508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248432"/>
        <c:crosses val="autoZero"/>
        <c:auto val="1"/>
        <c:lblAlgn val="ctr"/>
        <c:lblOffset val="100"/>
        <c:noMultiLvlLbl val="0"/>
      </c:catAx>
      <c:valAx>
        <c:axId val="1460248432"/>
        <c:scaling>
          <c:orientation val="minMax"/>
        </c:scaling>
        <c:delete val="1"/>
        <c:axPos val="b"/>
        <c:numFmt formatCode="General" sourceLinked="1"/>
        <c:majorTickMark val="none"/>
        <c:minorTickMark val="none"/>
        <c:tickLblPos val="nextTo"/>
        <c:crossAx val="146025083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plotArea>
      <cx:plotAreaRegion>
        <cx:series layoutId="funnel" uniqueId="{2FE1A822-504E-4C5B-A135-86E78FCFF58C}">
          <cx:spPr>
            <a:gradFill flip="none" rotWithShape="1">
              <a:gsLst>
                <a:gs pos="0">
                  <a:srgbClr val="B889DB"/>
                </a:gs>
                <a:gs pos="100000">
                  <a:srgbClr val="7030A0"/>
                </a:gs>
              </a:gsLst>
              <a:lin ang="10800000" scaled="1"/>
              <a:tileRect/>
            </a:gradFill>
          </cx:spPr>
          <cx:dataLabels>
            <cx:spPr>
              <a:noFill/>
            </cx:spPr>
            <cx:txPr>
              <a:bodyPr spcFirstLastPara="1" vertOverflow="ellipsis" horzOverflow="overflow" wrap="square" lIns="0" tIns="0" rIns="0" bIns="0" anchor="ctr" anchorCtr="1"/>
              <a:lstStyle/>
              <a:p>
                <a:pPr algn="ctr" rtl="0">
                  <a:defRPr sz="1000" b="1">
                    <a:solidFill>
                      <a:sysClr val="windowText" lastClr="000000"/>
                    </a:solidFill>
                    <a:latin typeface="Trade Gothic Next Heavy" panose="020F0502020204030204" pitchFamily="34" charset="0"/>
                    <a:ea typeface="Trade Gothic Next Heavy" panose="020F0502020204030204" pitchFamily="34" charset="0"/>
                    <a:cs typeface="Trade Gothic Next Heavy" panose="020F0502020204030204" pitchFamily="34" charset="0"/>
                  </a:defRPr>
                </a:pPr>
                <a:endParaRPr lang="en-US" sz="1000" b="1" i="0" u="none" strike="noStrike" baseline="0">
                  <a:solidFill>
                    <a:sysClr val="windowText" lastClr="000000"/>
                  </a:solidFill>
                  <a:latin typeface="Trade Gothic Next Heavy" panose="020F0502020204030204" pitchFamily="34" charset="0"/>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sz="800">
                <a:latin typeface="Lato Black" panose="020F0A02020204030203" pitchFamily="34" charset="0"/>
                <a:ea typeface="Lato Black" panose="020F0A02020204030203" pitchFamily="34" charset="0"/>
                <a:cs typeface="Lato Black" panose="020F0A02020204030203" pitchFamily="34" charset="0"/>
              </a:defRPr>
            </a:pPr>
            <a:endParaRPr lang="en-US" sz="800" b="0" i="0" u="none" strike="noStrike" baseline="0">
              <a:solidFill>
                <a:sysClr val="windowText" lastClr="000000">
                  <a:lumMod val="75000"/>
                  <a:lumOff val="25000"/>
                </a:sysClr>
              </a:solidFill>
              <a:latin typeface="Lato Black" panose="020F0A02020204030203" pitchFamily="34" charset="0"/>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FE1A822-504E-4C5B-A135-86E78FCFF58C}">
          <cx:spPr>
            <a:gradFill flip="none" rotWithShape="1">
              <a:gsLst>
                <a:gs pos="0">
                  <a:schemeClr val="bg2">
                    <a:lumMod val="75000"/>
                  </a:schemeClr>
                </a:gs>
                <a:gs pos="100000">
                  <a:schemeClr val="tx1">
                    <a:lumMod val="65000"/>
                    <a:lumOff val="35000"/>
                  </a:schemeClr>
                </a:gs>
              </a:gsLst>
              <a:lin ang="10800000" scaled="1"/>
              <a:tileRect/>
            </a:gradFill>
          </cx:spPr>
          <cx:dataLabels>
            <cx:spPr>
              <a:noFill/>
            </cx:spPr>
            <cx:txPr>
              <a:bodyPr spcFirstLastPara="1" vertOverflow="ellipsis" horzOverflow="overflow" wrap="square" lIns="0" tIns="0" rIns="0" bIns="0" anchor="ctr" anchorCtr="1"/>
              <a:lstStyle/>
              <a:p>
                <a:pPr algn="ctr" rtl="0">
                  <a:defRPr sz="1000" b="1">
                    <a:solidFill>
                      <a:sysClr val="windowText" lastClr="000000"/>
                    </a:solidFill>
                    <a:latin typeface="Trade Gothic Next Heavy" panose="020F0502020204030204" pitchFamily="34" charset="0"/>
                    <a:ea typeface="Trade Gothic Next Heavy" panose="020F0502020204030204" pitchFamily="34" charset="0"/>
                    <a:cs typeface="Trade Gothic Next Heavy" panose="020F0502020204030204" pitchFamily="34" charset="0"/>
                  </a:defRPr>
                </a:pPr>
                <a:endParaRPr lang="en-US" sz="1000" b="1" i="0" u="none" strike="noStrike" baseline="0">
                  <a:solidFill>
                    <a:sysClr val="windowText" lastClr="000000"/>
                  </a:solidFill>
                  <a:latin typeface="Trade Gothic Next Heavy" panose="020F0502020204030204" pitchFamily="34" charset="0"/>
                </a:endParaRPr>
              </a:p>
            </cx:txPr>
            <cx:visibility seriesName="0" categoryName="0" value="1"/>
          </cx:dataLabels>
          <cx:dataId val="0"/>
        </cx:series>
      </cx:plotAreaRegion>
      <cx:axis id="0">
        <cx:catScaling gapWidth="0.150000006"/>
        <cx:tickLabels/>
      </cx:axis>
    </cx:plotArea>
  </cx:chart>
  <cx:spPr>
    <a:solidFill>
      <a:schemeClr val="bg1"/>
    </a:solidFill>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chart" Target="../charts/chart1.xml"/><Relationship Id="rId1" Type="http://schemas.microsoft.com/office/2014/relationships/chartEx" Target="../charts/chartEx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8.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84667</xdr:colOff>
      <xdr:row>0</xdr:row>
      <xdr:rowOff>0</xdr:rowOff>
    </xdr:from>
    <xdr:to>
      <xdr:col>26</xdr:col>
      <xdr:colOff>147067</xdr:colOff>
      <xdr:row>43</xdr:row>
      <xdr:rowOff>8466</xdr:rowOff>
    </xdr:to>
    <xdr:grpSp>
      <xdr:nvGrpSpPr>
        <xdr:cNvPr id="82" name="Group 81">
          <a:extLst>
            <a:ext uri="{FF2B5EF4-FFF2-40B4-BE49-F238E27FC236}">
              <a16:creationId xmlns:a16="http://schemas.microsoft.com/office/drawing/2014/main" id="{09A2535F-A8DA-341E-F34F-59617FFCA68C}"/>
            </a:ext>
          </a:extLst>
        </xdr:cNvPr>
        <xdr:cNvGrpSpPr/>
      </xdr:nvGrpSpPr>
      <xdr:grpSpPr>
        <a:xfrm>
          <a:off x="84667" y="0"/>
          <a:ext cx="15912000" cy="8017933"/>
          <a:chOff x="84667" y="0"/>
          <a:chExt cx="15912000" cy="8017933"/>
        </a:xfrm>
      </xdr:grpSpPr>
      <xdr:grpSp>
        <xdr:nvGrpSpPr>
          <xdr:cNvPr id="74" name="Group 73">
            <a:extLst>
              <a:ext uri="{FF2B5EF4-FFF2-40B4-BE49-F238E27FC236}">
                <a16:creationId xmlns:a16="http://schemas.microsoft.com/office/drawing/2014/main" id="{E48C1092-E7EE-768A-DD39-597E357A328C}"/>
              </a:ext>
            </a:extLst>
          </xdr:cNvPr>
          <xdr:cNvGrpSpPr/>
        </xdr:nvGrpSpPr>
        <xdr:grpSpPr>
          <a:xfrm>
            <a:off x="84667" y="0"/>
            <a:ext cx="15912000" cy="8017933"/>
            <a:chOff x="84667" y="0"/>
            <a:chExt cx="15912000" cy="6774333"/>
          </a:xfrm>
        </xdr:grpSpPr>
        <xdr:sp macro="" textlink="">
          <xdr:nvSpPr>
            <xdr:cNvPr id="4" name="Shape 4">
              <a:extLst>
                <a:ext uri="{FF2B5EF4-FFF2-40B4-BE49-F238E27FC236}">
                  <a16:creationId xmlns:a16="http://schemas.microsoft.com/office/drawing/2014/main" id="{46775ECF-5182-890B-56F5-5406985C1BFC}"/>
                </a:ext>
              </a:extLst>
            </xdr:cNvPr>
            <xdr:cNvSpPr/>
          </xdr:nvSpPr>
          <xdr:spPr>
            <a:xfrm>
              <a:off x="84667" y="0"/>
              <a:ext cx="13244868" cy="6732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sp macro="" textlink="">
          <xdr:nvSpPr>
            <xdr:cNvPr id="5" name="Shape 30">
              <a:extLst>
                <a:ext uri="{FF2B5EF4-FFF2-40B4-BE49-F238E27FC236}">
                  <a16:creationId xmlns:a16="http://schemas.microsoft.com/office/drawing/2014/main" id="{9A6FF87D-8E8C-2298-B4EA-4285816B4317}"/>
                </a:ext>
              </a:extLst>
            </xdr:cNvPr>
            <xdr:cNvSpPr/>
          </xdr:nvSpPr>
          <xdr:spPr>
            <a:xfrm>
              <a:off x="93091" y="42333"/>
              <a:ext cx="15903576" cy="6732000"/>
            </a:xfrm>
            <a:prstGeom prst="roundRect">
              <a:avLst>
                <a:gd name="adj" fmla="val 1112"/>
              </a:avLst>
            </a:prstGeom>
            <a:solidFill>
              <a:srgbClr val="350D8D"/>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100">
                  <a:solidFill>
                    <a:schemeClr val="lt1"/>
                  </a:solidFill>
                  <a:latin typeface="Calibri"/>
                  <a:ea typeface="Calibri"/>
                  <a:cs typeface="Calibri"/>
                  <a:sym typeface="Calibri"/>
                </a:rPr>
                <a:t>`</a:t>
              </a:r>
              <a:endParaRPr sz="1400"/>
            </a:p>
          </xdr:txBody>
        </xdr:sp>
        <xdr:sp macro="" textlink="">
          <xdr:nvSpPr>
            <xdr:cNvPr id="6" name="Shape 31">
              <a:extLst>
                <a:ext uri="{FF2B5EF4-FFF2-40B4-BE49-F238E27FC236}">
                  <a16:creationId xmlns:a16="http://schemas.microsoft.com/office/drawing/2014/main" id="{1AAF76D1-EFA6-3670-B155-B663CD1D8071}"/>
                </a:ext>
              </a:extLst>
            </xdr:cNvPr>
            <xdr:cNvSpPr/>
          </xdr:nvSpPr>
          <xdr:spPr>
            <a:xfrm>
              <a:off x="182857" y="69605"/>
              <a:ext cx="7955216" cy="722029"/>
            </a:xfrm>
            <a:prstGeom prst="roundRect">
              <a:avLst>
                <a:gd name="adj" fmla="val 10000"/>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l" rtl="0">
                <a:spcBef>
                  <a:spcPts val="0"/>
                </a:spcBef>
                <a:spcAft>
                  <a:spcPts val="0"/>
                </a:spcAft>
                <a:buNone/>
              </a:pPr>
              <a:endParaRPr sz="3800">
                <a:solidFill>
                  <a:srgbClr val="7030A0"/>
                </a:solidFill>
                <a:latin typeface="Lato"/>
                <a:ea typeface="Lato"/>
                <a:cs typeface="Lato"/>
                <a:sym typeface="Lato"/>
              </a:endParaRPr>
            </a:p>
          </xdr:txBody>
        </xdr:sp>
        <xdr:sp macro="" textlink="">
          <xdr:nvSpPr>
            <xdr:cNvPr id="8" name="Shape 33">
              <a:extLst>
                <a:ext uri="{FF2B5EF4-FFF2-40B4-BE49-F238E27FC236}">
                  <a16:creationId xmlns:a16="http://schemas.microsoft.com/office/drawing/2014/main" id="{5441895E-78AA-C15E-B45A-B18D0E10F44E}"/>
                </a:ext>
              </a:extLst>
            </xdr:cNvPr>
            <xdr:cNvSpPr/>
          </xdr:nvSpPr>
          <xdr:spPr>
            <a:xfrm>
              <a:off x="4067505" y="1661185"/>
              <a:ext cx="3968726" cy="2400593"/>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nvGrpSpPr>
            <xdr:cNvPr id="9" name="Shape 34">
              <a:extLst>
                <a:ext uri="{FF2B5EF4-FFF2-40B4-BE49-F238E27FC236}">
                  <a16:creationId xmlns:a16="http://schemas.microsoft.com/office/drawing/2014/main" id="{50304FEF-6BB2-6EC9-AC2B-D0394976BED9}"/>
                </a:ext>
              </a:extLst>
            </xdr:cNvPr>
            <xdr:cNvGrpSpPr/>
          </xdr:nvGrpSpPr>
          <xdr:grpSpPr>
            <a:xfrm>
              <a:off x="235600" y="870636"/>
              <a:ext cx="13068601" cy="732066"/>
              <a:chOff x="1906596" y="1196154"/>
              <a:chExt cx="13403409" cy="845595"/>
            </a:xfrm>
          </xdr:grpSpPr>
          <xdr:sp macro="" textlink="">
            <xdr:nvSpPr>
              <xdr:cNvPr id="24" name="Shape 35">
                <a:extLst>
                  <a:ext uri="{FF2B5EF4-FFF2-40B4-BE49-F238E27FC236}">
                    <a16:creationId xmlns:a16="http://schemas.microsoft.com/office/drawing/2014/main" id="{3A64EC00-7030-3465-1400-FE1D8D31E288}"/>
                  </a:ext>
                </a:extLst>
              </xdr:cNvPr>
              <xdr:cNvSpPr/>
            </xdr:nvSpPr>
            <xdr:spPr>
              <a:xfrm>
                <a:off x="1906596" y="1196155"/>
                <a:ext cx="2602058" cy="835816"/>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5" name="Shape 36">
                <a:extLst>
                  <a:ext uri="{FF2B5EF4-FFF2-40B4-BE49-F238E27FC236}">
                    <a16:creationId xmlns:a16="http://schemas.microsoft.com/office/drawing/2014/main" id="{3346284B-42EC-F8BF-EB23-AE7286C6B207}"/>
                  </a:ext>
                </a:extLst>
              </xdr:cNvPr>
              <xdr:cNvSpPr/>
            </xdr:nvSpPr>
            <xdr:spPr>
              <a:xfrm>
                <a:off x="4598294" y="1196154"/>
                <a:ext cx="2602058" cy="835816"/>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6" name="Shape 37">
                <a:extLst>
                  <a:ext uri="{FF2B5EF4-FFF2-40B4-BE49-F238E27FC236}">
                    <a16:creationId xmlns:a16="http://schemas.microsoft.com/office/drawing/2014/main" id="{0FFFE79B-AD2A-1167-B96B-FF638CBAB5E0}"/>
                  </a:ext>
                </a:extLst>
              </xdr:cNvPr>
              <xdr:cNvSpPr/>
            </xdr:nvSpPr>
            <xdr:spPr>
              <a:xfrm>
                <a:off x="7307272" y="1196156"/>
                <a:ext cx="2602058" cy="835816"/>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7" name="Shape 38">
                <a:extLst>
                  <a:ext uri="{FF2B5EF4-FFF2-40B4-BE49-F238E27FC236}">
                    <a16:creationId xmlns:a16="http://schemas.microsoft.com/office/drawing/2014/main" id="{B4390207-2A14-CDCF-C020-5F1162B09E02}"/>
                  </a:ext>
                </a:extLst>
              </xdr:cNvPr>
              <xdr:cNvSpPr/>
            </xdr:nvSpPr>
            <xdr:spPr>
              <a:xfrm>
                <a:off x="9998968" y="1196155"/>
                <a:ext cx="2602058" cy="835816"/>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28" name="Shape 39">
                <a:extLst>
                  <a:ext uri="{FF2B5EF4-FFF2-40B4-BE49-F238E27FC236}">
                    <a16:creationId xmlns:a16="http://schemas.microsoft.com/office/drawing/2014/main" id="{1214AF18-88D4-F171-0A18-7D493073D4A1}"/>
                  </a:ext>
                </a:extLst>
              </xdr:cNvPr>
              <xdr:cNvSpPr/>
            </xdr:nvSpPr>
            <xdr:spPr>
              <a:xfrm>
                <a:off x="12707947" y="1205933"/>
                <a:ext cx="2602058" cy="835816"/>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grpSp>
        <xdr:grpSp>
          <xdr:nvGrpSpPr>
            <xdr:cNvPr id="10" name="Shape 40">
              <a:extLst>
                <a:ext uri="{FF2B5EF4-FFF2-40B4-BE49-F238E27FC236}">
                  <a16:creationId xmlns:a16="http://schemas.microsoft.com/office/drawing/2014/main" id="{DE4B010F-C42E-6052-197F-EBD037CA4100}"/>
                </a:ext>
              </a:extLst>
            </xdr:cNvPr>
            <xdr:cNvGrpSpPr/>
          </xdr:nvGrpSpPr>
          <xdr:grpSpPr>
            <a:xfrm>
              <a:off x="177644" y="4095329"/>
              <a:ext cx="3623890" cy="2554909"/>
              <a:chOff x="1847146" y="2057628"/>
              <a:chExt cx="3685036" cy="3020145"/>
            </a:xfrm>
          </xdr:grpSpPr>
          <xdr:sp macro="" textlink="">
            <xdr:nvSpPr>
              <xdr:cNvPr id="22" name="Shape 41">
                <a:extLst>
                  <a:ext uri="{FF2B5EF4-FFF2-40B4-BE49-F238E27FC236}">
                    <a16:creationId xmlns:a16="http://schemas.microsoft.com/office/drawing/2014/main" id="{6D44EEF4-5C2A-CA37-49F5-1ED4BC1B23DA}"/>
                  </a:ext>
                </a:extLst>
              </xdr:cNvPr>
              <xdr:cNvSpPr/>
            </xdr:nvSpPr>
            <xdr:spPr>
              <a:xfrm>
                <a:off x="1847146" y="2057628"/>
                <a:ext cx="3685036" cy="3020145"/>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3" name="Shape 42">
                <a:extLst>
                  <a:ext uri="{FF2B5EF4-FFF2-40B4-BE49-F238E27FC236}">
                    <a16:creationId xmlns:a16="http://schemas.microsoft.com/office/drawing/2014/main" id="{BD7791A2-7B92-3412-D70F-B0AF399D8547}"/>
                  </a:ext>
                </a:extLst>
              </xdr:cNvPr>
              <xdr:cNvCxnSpPr/>
            </xdr:nvCxnSpPr>
            <xdr:spPr>
              <a:xfrm>
                <a:off x="1980840" y="2463753"/>
                <a:ext cx="3465246" cy="0"/>
              </a:xfrm>
              <a:prstGeom prst="straightConnector1">
                <a:avLst/>
              </a:prstGeom>
              <a:noFill/>
              <a:ln w="12700" cap="flat" cmpd="sng">
                <a:solidFill>
                  <a:sysClr val="windowText" lastClr="000000"/>
                </a:solidFill>
                <a:prstDash val="solid"/>
                <a:miter lim="800000"/>
                <a:headEnd type="none" w="sm" len="sm"/>
                <a:tailEnd type="none" w="sm" len="sm"/>
              </a:ln>
            </xdr:spPr>
          </xdr:cxnSp>
        </xdr:grpSp>
        <xdr:cxnSp macro="">
          <xdr:nvCxnSpPr>
            <xdr:cNvPr id="11" name="Shape 43">
              <a:extLst>
                <a:ext uri="{FF2B5EF4-FFF2-40B4-BE49-F238E27FC236}">
                  <a16:creationId xmlns:a16="http://schemas.microsoft.com/office/drawing/2014/main" id="{5A9B2039-D212-6C0D-7B6E-EE3324EE955C}"/>
                </a:ext>
              </a:extLst>
            </xdr:cNvPr>
            <xdr:cNvCxnSpPr/>
          </xdr:nvCxnSpPr>
          <xdr:spPr>
            <a:xfrm flipH="1">
              <a:off x="4215198" y="2038848"/>
              <a:ext cx="3684793" cy="0"/>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12" name="Shape 44">
              <a:extLst>
                <a:ext uri="{FF2B5EF4-FFF2-40B4-BE49-F238E27FC236}">
                  <a16:creationId xmlns:a16="http://schemas.microsoft.com/office/drawing/2014/main" id="{FE106B04-AFCA-EC2E-395C-DBD3A8D03759}"/>
                </a:ext>
              </a:extLst>
            </xdr:cNvPr>
            <xdr:cNvSpPr/>
          </xdr:nvSpPr>
          <xdr:spPr>
            <a:xfrm>
              <a:off x="8083948" y="1669565"/>
              <a:ext cx="4208858" cy="2376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3" name="Shape 45">
              <a:extLst>
                <a:ext uri="{FF2B5EF4-FFF2-40B4-BE49-F238E27FC236}">
                  <a16:creationId xmlns:a16="http://schemas.microsoft.com/office/drawing/2014/main" id="{1B84241B-7EE0-3ED0-8C0B-305E2B6E67C5}"/>
                </a:ext>
              </a:extLst>
            </xdr:cNvPr>
            <xdr:cNvCxnSpPr/>
          </xdr:nvCxnSpPr>
          <xdr:spPr>
            <a:xfrm rot="10800000" flipH="1">
              <a:off x="8220388" y="2010062"/>
              <a:ext cx="4000499" cy="4588"/>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14" name="Shape 46">
              <a:extLst>
                <a:ext uri="{FF2B5EF4-FFF2-40B4-BE49-F238E27FC236}">
                  <a16:creationId xmlns:a16="http://schemas.microsoft.com/office/drawing/2014/main" id="{AA6CF40F-E38E-229D-8AE1-AA89A08D0ABC}"/>
                </a:ext>
              </a:extLst>
            </xdr:cNvPr>
            <xdr:cNvSpPr/>
          </xdr:nvSpPr>
          <xdr:spPr>
            <a:xfrm>
              <a:off x="177643" y="1669565"/>
              <a:ext cx="3803749" cy="2384828"/>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5" name="Shape 47">
              <a:extLst>
                <a:ext uri="{FF2B5EF4-FFF2-40B4-BE49-F238E27FC236}">
                  <a16:creationId xmlns:a16="http://schemas.microsoft.com/office/drawing/2014/main" id="{1A0CE009-D3A5-FDC3-0215-E80D643C9F4D}"/>
                </a:ext>
              </a:extLst>
            </xdr:cNvPr>
            <xdr:cNvCxnSpPr/>
          </xdr:nvCxnSpPr>
          <xdr:spPr>
            <a:xfrm rot="10800000" flipH="1">
              <a:off x="325967" y="2033779"/>
              <a:ext cx="3548544" cy="4558"/>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16" name="Shape 48">
              <a:extLst>
                <a:ext uri="{FF2B5EF4-FFF2-40B4-BE49-F238E27FC236}">
                  <a16:creationId xmlns:a16="http://schemas.microsoft.com/office/drawing/2014/main" id="{501BC733-E679-2E28-FA75-F8AA9407383B}"/>
                </a:ext>
              </a:extLst>
            </xdr:cNvPr>
            <xdr:cNvSpPr/>
          </xdr:nvSpPr>
          <xdr:spPr>
            <a:xfrm>
              <a:off x="3843867" y="4120729"/>
              <a:ext cx="2893031" cy="2537976"/>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7" name="Shape 49">
              <a:extLst>
                <a:ext uri="{FF2B5EF4-FFF2-40B4-BE49-F238E27FC236}">
                  <a16:creationId xmlns:a16="http://schemas.microsoft.com/office/drawing/2014/main" id="{2A01719F-6571-7DD1-DED6-27D2AAAB6064}"/>
                </a:ext>
              </a:extLst>
            </xdr:cNvPr>
            <xdr:cNvCxnSpPr/>
          </xdr:nvCxnSpPr>
          <xdr:spPr>
            <a:xfrm>
              <a:off x="3937000" y="4461478"/>
              <a:ext cx="2702289" cy="0"/>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18" name="Shape 50">
              <a:extLst>
                <a:ext uri="{FF2B5EF4-FFF2-40B4-BE49-F238E27FC236}">
                  <a16:creationId xmlns:a16="http://schemas.microsoft.com/office/drawing/2014/main" id="{1E71556A-9443-57C0-2A02-C512E09C14B9}"/>
                </a:ext>
              </a:extLst>
            </xdr:cNvPr>
            <xdr:cNvSpPr/>
          </xdr:nvSpPr>
          <xdr:spPr>
            <a:xfrm>
              <a:off x="6773377" y="4137662"/>
              <a:ext cx="2990543" cy="2529744"/>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19" name="Shape 51">
              <a:extLst>
                <a:ext uri="{FF2B5EF4-FFF2-40B4-BE49-F238E27FC236}">
                  <a16:creationId xmlns:a16="http://schemas.microsoft.com/office/drawing/2014/main" id="{1E4D0534-337F-3466-F834-AAFEDC737567}"/>
                </a:ext>
              </a:extLst>
            </xdr:cNvPr>
            <xdr:cNvCxnSpPr/>
          </xdr:nvCxnSpPr>
          <xdr:spPr>
            <a:xfrm>
              <a:off x="6959996" y="4503812"/>
              <a:ext cx="2593323" cy="0"/>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20" name="Shape 52">
              <a:extLst>
                <a:ext uri="{FF2B5EF4-FFF2-40B4-BE49-F238E27FC236}">
                  <a16:creationId xmlns:a16="http://schemas.microsoft.com/office/drawing/2014/main" id="{CCECF37E-D424-5F16-E614-4124193533C8}"/>
                </a:ext>
              </a:extLst>
            </xdr:cNvPr>
            <xdr:cNvSpPr/>
          </xdr:nvSpPr>
          <xdr:spPr>
            <a:xfrm>
              <a:off x="9806040" y="4103796"/>
              <a:ext cx="3560667" cy="2546677"/>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21" name="Shape 53">
              <a:extLst>
                <a:ext uri="{FF2B5EF4-FFF2-40B4-BE49-F238E27FC236}">
                  <a16:creationId xmlns:a16="http://schemas.microsoft.com/office/drawing/2014/main" id="{3AF5F30C-A0E0-24D6-4C2E-38169F2C49B7}"/>
                </a:ext>
              </a:extLst>
            </xdr:cNvPr>
            <xdr:cNvCxnSpPr/>
          </xdr:nvCxnSpPr>
          <xdr:spPr>
            <a:xfrm>
              <a:off x="10008217" y="4474149"/>
              <a:ext cx="3255947" cy="0"/>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29" name="Shape 39">
              <a:extLst>
                <a:ext uri="{FF2B5EF4-FFF2-40B4-BE49-F238E27FC236}">
                  <a16:creationId xmlns:a16="http://schemas.microsoft.com/office/drawing/2014/main" id="{3CEB4E23-5C6D-47F5-A0FD-D1C4A278F746}"/>
                </a:ext>
              </a:extLst>
            </xdr:cNvPr>
            <xdr:cNvSpPr/>
          </xdr:nvSpPr>
          <xdr:spPr>
            <a:xfrm>
              <a:off x="8193875" y="68034"/>
              <a:ext cx="2513405" cy="723600"/>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0" name="Shape 39">
              <a:extLst>
                <a:ext uri="{FF2B5EF4-FFF2-40B4-BE49-F238E27FC236}">
                  <a16:creationId xmlns:a16="http://schemas.microsoft.com/office/drawing/2014/main" id="{4EEB2C2C-22CD-4A2D-B025-40528FA4B8BC}"/>
                </a:ext>
              </a:extLst>
            </xdr:cNvPr>
            <xdr:cNvSpPr/>
          </xdr:nvSpPr>
          <xdr:spPr>
            <a:xfrm>
              <a:off x="10807647" y="76200"/>
              <a:ext cx="2513405" cy="723600"/>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1" name="Shape 39">
              <a:extLst>
                <a:ext uri="{FF2B5EF4-FFF2-40B4-BE49-F238E27FC236}">
                  <a16:creationId xmlns:a16="http://schemas.microsoft.com/office/drawing/2014/main" id="{5BCE4EF3-AA36-4D22-8687-39FBDD53994E}"/>
                </a:ext>
              </a:extLst>
            </xdr:cNvPr>
            <xdr:cNvSpPr/>
          </xdr:nvSpPr>
          <xdr:spPr>
            <a:xfrm>
              <a:off x="13389965" y="68034"/>
              <a:ext cx="2513405" cy="723600"/>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2" name="Shape 39">
              <a:extLst>
                <a:ext uri="{FF2B5EF4-FFF2-40B4-BE49-F238E27FC236}">
                  <a16:creationId xmlns:a16="http://schemas.microsoft.com/office/drawing/2014/main" id="{20708696-7757-4F9E-BA5F-0F8215C9BF80}"/>
                </a:ext>
              </a:extLst>
            </xdr:cNvPr>
            <xdr:cNvSpPr/>
          </xdr:nvSpPr>
          <xdr:spPr>
            <a:xfrm>
              <a:off x="13381541" y="877496"/>
              <a:ext cx="2513405" cy="723600"/>
            </a:xfrm>
            <a:prstGeom prst="roundRect">
              <a:avLst>
                <a:gd name="adj" fmla="val 6048"/>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sp macro="" textlink="">
          <xdr:nvSpPr>
            <xdr:cNvPr id="35" name="Shape 48">
              <a:extLst>
                <a:ext uri="{FF2B5EF4-FFF2-40B4-BE49-F238E27FC236}">
                  <a16:creationId xmlns:a16="http://schemas.microsoft.com/office/drawing/2014/main" id="{835141F2-E332-41A2-AC99-7F9B4E22C614}"/>
                </a:ext>
              </a:extLst>
            </xdr:cNvPr>
            <xdr:cNvSpPr/>
          </xdr:nvSpPr>
          <xdr:spPr>
            <a:xfrm>
              <a:off x="12381414" y="1649106"/>
              <a:ext cx="3505428" cy="2376000"/>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6" name="Shape 49">
              <a:extLst>
                <a:ext uri="{FF2B5EF4-FFF2-40B4-BE49-F238E27FC236}">
                  <a16:creationId xmlns:a16="http://schemas.microsoft.com/office/drawing/2014/main" id="{3351469E-F51F-4CCC-BC49-2C231011073E}"/>
                </a:ext>
              </a:extLst>
            </xdr:cNvPr>
            <xdr:cNvCxnSpPr/>
          </xdr:nvCxnSpPr>
          <xdr:spPr>
            <a:xfrm>
              <a:off x="12559436" y="2021915"/>
              <a:ext cx="3219267" cy="0"/>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37" name="Shape 52">
              <a:extLst>
                <a:ext uri="{FF2B5EF4-FFF2-40B4-BE49-F238E27FC236}">
                  <a16:creationId xmlns:a16="http://schemas.microsoft.com/office/drawing/2014/main" id="{7F4475F7-088F-4E80-A2F9-0B038733D6D4}"/>
                </a:ext>
              </a:extLst>
            </xdr:cNvPr>
            <xdr:cNvSpPr/>
          </xdr:nvSpPr>
          <xdr:spPr>
            <a:xfrm>
              <a:off x="13434818" y="4086863"/>
              <a:ext cx="2471502" cy="2546677"/>
            </a:xfrm>
            <a:prstGeom prst="roundRect">
              <a:avLst>
                <a:gd name="adj" fmla="val 3303"/>
              </a:avLst>
            </a:prstGeom>
            <a:solidFill>
              <a:schemeClr val="lt1">
                <a:alpha val="94901"/>
              </a:schemeClr>
            </a:solidFill>
            <a:ln w="12700" cap="flat" cmpd="sng">
              <a:solidFill>
                <a:srgbClr val="7F7F7F"/>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a:p>
          </xdr:txBody>
        </xdr:sp>
        <xdr:cxnSp macro="">
          <xdr:nvCxnSpPr>
            <xdr:cNvPr id="38" name="Shape 53">
              <a:extLst>
                <a:ext uri="{FF2B5EF4-FFF2-40B4-BE49-F238E27FC236}">
                  <a16:creationId xmlns:a16="http://schemas.microsoft.com/office/drawing/2014/main" id="{BF2CDA00-928D-41A9-BF1D-D68F2FBE7FD5}"/>
                </a:ext>
              </a:extLst>
            </xdr:cNvPr>
            <xdr:cNvCxnSpPr/>
          </xdr:nvCxnSpPr>
          <xdr:spPr>
            <a:xfrm rot="10800000" flipH="1">
              <a:off x="13529483" y="4430838"/>
              <a:ext cx="2256589" cy="4484"/>
            </a:xfrm>
            <a:prstGeom prst="straightConnector1">
              <a:avLst/>
            </a:prstGeom>
            <a:noFill/>
            <a:ln w="12700" cap="flat" cmpd="sng">
              <a:solidFill>
                <a:sysClr val="windowText" lastClr="000000"/>
              </a:solidFill>
              <a:prstDash val="solid"/>
              <a:miter lim="800000"/>
              <a:headEnd type="none" w="sm" len="sm"/>
              <a:tailEnd type="none" w="sm" len="sm"/>
            </a:ln>
          </xdr:spPr>
        </xdr:cxnSp>
        <xdr:sp macro="" textlink="">
          <xdr:nvSpPr>
            <xdr:cNvPr id="40" name="TextBox 39">
              <a:extLst>
                <a:ext uri="{FF2B5EF4-FFF2-40B4-BE49-F238E27FC236}">
                  <a16:creationId xmlns:a16="http://schemas.microsoft.com/office/drawing/2014/main" id="{A559F3D3-9061-3408-1086-41AF36FA9709}"/>
                </a:ext>
              </a:extLst>
            </xdr:cNvPr>
            <xdr:cNvSpPr txBox="1"/>
          </xdr:nvSpPr>
          <xdr:spPr>
            <a:xfrm>
              <a:off x="325963" y="141395"/>
              <a:ext cx="7727871" cy="558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800">
                  <a:solidFill>
                    <a:srgbClr val="C00000"/>
                  </a:solidFill>
                  <a:latin typeface="Lato Black" panose="020F0A02020204030203" pitchFamily="34" charset="0"/>
                </a:rPr>
                <a:t>ANTENATAL</a:t>
              </a:r>
              <a:r>
                <a:rPr lang="en-IN" sz="2800" baseline="0">
                  <a:solidFill>
                    <a:srgbClr val="C00000"/>
                  </a:solidFill>
                  <a:latin typeface="Lato Black" panose="020F0A02020204030203" pitchFamily="34" charset="0"/>
                </a:rPr>
                <a:t> CARE REPORT DASHBOARD</a:t>
              </a:r>
              <a:endParaRPr lang="en-IN" sz="2800">
                <a:solidFill>
                  <a:srgbClr val="C00000"/>
                </a:solidFill>
                <a:latin typeface="Lato Black" panose="020F0A02020204030203" pitchFamily="34" charset="0"/>
              </a:endParaRPr>
            </a:p>
          </xdr:txBody>
        </xdr:sp>
        <xdr:sp macro="" textlink="">
          <xdr:nvSpPr>
            <xdr:cNvPr id="41" name="TextBox 40">
              <a:extLst>
                <a:ext uri="{FF2B5EF4-FFF2-40B4-BE49-F238E27FC236}">
                  <a16:creationId xmlns:a16="http://schemas.microsoft.com/office/drawing/2014/main" id="{775F0E2D-009A-4008-868D-8DCE115F8135}"/>
                </a:ext>
              </a:extLst>
            </xdr:cNvPr>
            <xdr:cNvSpPr txBox="1"/>
          </xdr:nvSpPr>
          <xdr:spPr>
            <a:xfrm>
              <a:off x="8333005" y="131235"/>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100" b="0">
                  <a:solidFill>
                    <a:srgbClr val="C00000"/>
                  </a:solidFill>
                  <a:effectLst/>
                  <a:latin typeface="Lato Black" panose="020F0A02020204030203" pitchFamily="34" charset="0"/>
                  <a:ea typeface="+mn-ea"/>
                  <a:cs typeface="+mn-cs"/>
                </a:rPr>
                <a:t>Total New ANC Registrations</a:t>
              </a:r>
              <a:endParaRPr lang="en-IN" sz="1100">
                <a:solidFill>
                  <a:srgbClr val="C00000"/>
                </a:solidFill>
                <a:effectLst/>
                <a:latin typeface="Lato Black" panose="020F0A02020204030203" pitchFamily="34" charset="0"/>
              </a:endParaRPr>
            </a:p>
            <a:p>
              <a:endParaRPr lang="en-IN" sz="1100"/>
            </a:p>
          </xdr:txBody>
        </xdr:sp>
        <xdr:sp macro="" textlink="">
          <xdr:nvSpPr>
            <xdr:cNvPr id="42" name="TextBox 41">
              <a:extLst>
                <a:ext uri="{FF2B5EF4-FFF2-40B4-BE49-F238E27FC236}">
                  <a16:creationId xmlns:a16="http://schemas.microsoft.com/office/drawing/2014/main" id="{3DA898DD-0A13-40E9-A76F-80048112FABB}"/>
                </a:ext>
              </a:extLst>
            </xdr:cNvPr>
            <xdr:cNvSpPr txBox="1"/>
          </xdr:nvSpPr>
          <xdr:spPr>
            <a:xfrm>
              <a:off x="10960676" y="138009"/>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C00000"/>
                  </a:solidFill>
                  <a:latin typeface="Lato Black" panose="020F0A02020204030203" pitchFamily="34" charset="0"/>
                </a:rPr>
                <a:t>Total ANC Hypertension</a:t>
              </a:r>
            </a:p>
          </xdr:txBody>
        </xdr:sp>
        <xdr:sp macro="" textlink="">
          <xdr:nvSpPr>
            <xdr:cNvPr id="43" name="TextBox 42">
              <a:extLst>
                <a:ext uri="{FF2B5EF4-FFF2-40B4-BE49-F238E27FC236}">
                  <a16:creationId xmlns:a16="http://schemas.microsoft.com/office/drawing/2014/main" id="{E6109B1C-6A68-41DC-BBAC-2DFF17ECB457}"/>
                </a:ext>
              </a:extLst>
            </xdr:cNvPr>
            <xdr:cNvSpPr txBox="1"/>
          </xdr:nvSpPr>
          <xdr:spPr>
            <a:xfrm>
              <a:off x="13521052" y="112608"/>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rgbClr val="C00000"/>
                  </a:solidFill>
                  <a:latin typeface="Lato Black" panose="020F0A02020204030203" pitchFamily="34" charset="0"/>
                </a:rPr>
                <a:t>Total ANC Hb Test ≥ 4 Times</a:t>
              </a:r>
              <a:r>
                <a:rPr lang="en-IN" sz="1100" baseline="0">
                  <a:solidFill>
                    <a:srgbClr val="C00000"/>
                  </a:solidFill>
                  <a:latin typeface="Lato Black" panose="020F0A02020204030203" pitchFamily="34" charset="0"/>
                </a:rPr>
                <a:t> </a:t>
              </a:r>
              <a:endParaRPr lang="en-IN" sz="1100">
                <a:solidFill>
                  <a:srgbClr val="C00000"/>
                </a:solidFill>
                <a:latin typeface="Lato Black" panose="020F0A02020204030203" pitchFamily="34" charset="0"/>
              </a:endParaRPr>
            </a:p>
          </xdr:txBody>
        </xdr:sp>
        <xdr:sp macro="" textlink="">
          <xdr:nvSpPr>
            <xdr:cNvPr id="44" name="TextBox 43">
              <a:extLst>
                <a:ext uri="{FF2B5EF4-FFF2-40B4-BE49-F238E27FC236}">
                  <a16:creationId xmlns:a16="http://schemas.microsoft.com/office/drawing/2014/main" id="{F079ED9D-6441-4795-8EDD-149B37A74B74}"/>
                </a:ext>
              </a:extLst>
            </xdr:cNvPr>
            <xdr:cNvSpPr txBox="1"/>
          </xdr:nvSpPr>
          <xdr:spPr>
            <a:xfrm>
              <a:off x="8269691" y="893235"/>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C00000"/>
                  </a:solidFill>
                  <a:latin typeface="Lato Black" panose="020F0A02020204030203" pitchFamily="34" charset="0"/>
                </a:rPr>
                <a:t>ANC Presumptive TB Cases</a:t>
              </a:r>
              <a:endParaRPr lang="en-IN" sz="1100">
                <a:solidFill>
                  <a:srgbClr val="C00000"/>
                </a:solidFill>
                <a:latin typeface="Lato Black" panose="020F0A02020204030203" pitchFamily="34" charset="0"/>
              </a:endParaRPr>
            </a:p>
          </xdr:txBody>
        </xdr:sp>
        <xdr:sp macro="" textlink="">
          <xdr:nvSpPr>
            <xdr:cNvPr id="45" name="TextBox 44">
              <a:extLst>
                <a:ext uri="{FF2B5EF4-FFF2-40B4-BE49-F238E27FC236}">
                  <a16:creationId xmlns:a16="http://schemas.microsoft.com/office/drawing/2014/main" id="{C265FDAC-004E-4697-8144-E66931DBA6D0}"/>
                </a:ext>
              </a:extLst>
            </xdr:cNvPr>
            <xdr:cNvSpPr txBox="1"/>
          </xdr:nvSpPr>
          <xdr:spPr>
            <a:xfrm>
              <a:off x="5535040" y="893235"/>
              <a:ext cx="2417706"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C00000"/>
                  </a:solidFill>
                  <a:latin typeface="Lato Black" panose="020F0A02020204030203" pitchFamily="34" charset="0"/>
                </a:rPr>
                <a:t>Total ANC Thyroid Positive</a:t>
              </a:r>
              <a:endParaRPr lang="en-IN" sz="1100">
                <a:solidFill>
                  <a:srgbClr val="C00000"/>
                </a:solidFill>
                <a:latin typeface="Lato Black" panose="020F0A02020204030203" pitchFamily="34" charset="0"/>
              </a:endParaRPr>
            </a:p>
          </xdr:txBody>
        </xdr:sp>
        <xdr:sp macro="" textlink="">
          <xdr:nvSpPr>
            <xdr:cNvPr id="46" name="TextBox 45">
              <a:extLst>
                <a:ext uri="{FF2B5EF4-FFF2-40B4-BE49-F238E27FC236}">
                  <a16:creationId xmlns:a16="http://schemas.microsoft.com/office/drawing/2014/main" id="{8E46FD79-4B1C-4991-98BB-F1390477B10F}"/>
                </a:ext>
              </a:extLst>
            </xdr:cNvPr>
            <xdr:cNvSpPr txBox="1"/>
          </xdr:nvSpPr>
          <xdr:spPr>
            <a:xfrm>
              <a:off x="2995676" y="884768"/>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a:solidFill>
                    <a:srgbClr val="C00000"/>
                  </a:solidFill>
                  <a:latin typeface="Lato Black" panose="020F0A02020204030203" pitchFamily="34" charset="0"/>
                </a:rPr>
                <a:t>Total ANC Syphilis Seropositive</a:t>
              </a:r>
              <a:endParaRPr lang="en-IN" sz="1100">
                <a:solidFill>
                  <a:srgbClr val="C00000"/>
                </a:solidFill>
                <a:latin typeface="Lato Black" panose="020F0A02020204030203" pitchFamily="34" charset="0"/>
              </a:endParaRPr>
            </a:p>
          </xdr:txBody>
        </xdr:sp>
        <xdr:sp macro="" textlink="">
          <xdr:nvSpPr>
            <xdr:cNvPr id="47" name="TextBox 46">
              <a:extLst>
                <a:ext uri="{FF2B5EF4-FFF2-40B4-BE49-F238E27FC236}">
                  <a16:creationId xmlns:a16="http://schemas.microsoft.com/office/drawing/2014/main" id="{988AA135-55AE-4128-97BC-5CDED99056AC}"/>
                </a:ext>
              </a:extLst>
            </xdr:cNvPr>
            <xdr:cNvSpPr txBox="1"/>
          </xdr:nvSpPr>
          <xdr:spPr>
            <a:xfrm>
              <a:off x="406589" y="910742"/>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C00000"/>
                  </a:solidFill>
                  <a:latin typeface="Lato Black" panose="020F0A02020204030203" pitchFamily="34" charset="0"/>
                </a:rPr>
                <a:t>Total ANC GDM Positive</a:t>
              </a:r>
              <a:endParaRPr lang="en-IN" sz="1100">
                <a:solidFill>
                  <a:srgbClr val="C00000"/>
                </a:solidFill>
                <a:latin typeface="Lato Black" panose="020F0A02020204030203" pitchFamily="34" charset="0"/>
              </a:endParaRPr>
            </a:p>
          </xdr:txBody>
        </xdr:sp>
        <xdr:sp macro="" textlink="">
          <xdr:nvSpPr>
            <xdr:cNvPr id="48" name="TextBox 47">
              <a:extLst>
                <a:ext uri="{FF2B5EF4-FFF2-40B4-BE49-F238E27FC236}">
                  <a16:creationId xmlns:a16="http://schemas.microsoft.com/office/drawing/2014/main" id="{67A97056-AB7B-4D8C-9BAA-24C3BA93F072}"/>
                </a:ext>
              </a:extLst>
            </xdr:cNvPr>
            <xdr:cNvSpPr txBox="1"/>
          </xdr:nvSpPr>
          <xdr:spPr>
            <a:xfrm>
              <a:off x="10951691" y="902277"/>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C00000"/>
                  </a:solidFill>
                  <a:latin typeface="Lato Black" panose="020F0A02020204030203" pitchFamily="34" charset="0"/>
                </a:rPr>
                <a:t>Total Intrapartum HRP Cases</a:t>
              </a:r>
              <a:endParaRPr lang="en-IN" sz="1100">
                <a:solidFill>
                  <a:srgbClr val="C00000"/>
                </a:solidFill>
                <a:latin typeface="Lato Black" panose="020F0A02020204030203" pitchFamily="34" charset="0"/>
              </a:endParaRPr>
            </a:p>
          </xdr:txBody>
        </xdr:sp>
        <xdr:sp macro="" textlink="">
          <xdr:nvSpPr>
            <xdr:cNvPr id="49" name="TextBox 48">
              <a:extLst>
                <a:ext uri="{FF2B5EF4-FFF2-40B4-BE49-F238E27FC236}">
                  <a16:creationId xmlns:a16="http://schemas.microsoft.com/office/drawing/2014/main" id="{50A0BA01-B5C2-4EB8-BCF0-12F1D1B7272A}"/>
                </a:ext>
              </a:extLst>
            </xdr:cNvPr>
            <xdr:cNvSpPr txBox="1"/>
          </xdr:nvSpPr>
          <xdr:spPr>
            <a:xfrm>
              <a:off x="13529477" y="886490"/>
              <a:ext cx="2244520" cy="324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a:solidFill>
                    <a:srgbClr val="C00000"/>
                  </a:solidFill>
                  <a:latin typeface="Lato Black" panose="020F0A02020204030203" pitchFamily="34" charset="0"/>
                </a:rPr>
                <a:t>Total Antepartum HRP Cases</a:t>
              </a:r>
              <a:endParaRPr lang="en-IN" sz="1100">
                <a:solidFill>
                  <a:srgbClr val="C00000"/>
                </a:solidFill>
                <a:latin typeface="Lato Black" panose="020F0A02020204030203" pitchFamily="34" charset="0"/>
              </a:endParaRPr>
            </a:p>
          </xdr:txBody>
        </xdr:sp>
        <xdr:sp macro="" textlink="">
          <xdr:nvSpPr>
            <xdr:cNvPr id="50" name="TextBox 49">
              <a:extLst>
                <a:ext uri="{FF2B5EF4-FFF2-40B4-BE49-F238E27FC236}">
                  <a16:creationId xmlns:a16="http://schemas.microsoft.com/office/drawing/2014/main" id="{4E05F1EF-B7E7-4ECB-BAE8-5CCEAFDFB9D9}"/>
                </a:ext>
              </a:extLst>
            </xdr:cNvPr>
            <xdr:cNvSpPr txBox="1"/>
          </xdr:nvSpPr>
          <xdr:spPr>
            <a:xfrm>
              <a:off x="12553952" y="1697914"/>
              <a:ext cx="3223698"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rgbClr val="C00000"/>
                  </a:solidFill>
                  <a:latin typeface="Lato Black" panose="020F0A02020204030203" pitchFamily="34" charset="0"/>
                </a:rPr>
                <a:t>ANC Hypertension &amp; Eclampsia</a:t>
              </a:r>
              <a:endParaRPr kumimoji="0" lang="en-IN" sz="1400" b="0" i="0" u="none" strike="noStrike" kern="0" cap="none" spc="0" normalizeH="0" baseline="0" noProof="0">
                <a:ln>
                  <a:noFill/>
                </a:ln>
                <a:solidFill>
                  <a:srgbClr val="C00000"/>
                </a:solidFill>
                <a:effectLst/>
                <a:uLnTx/>
                <a:uFillTx/>
                <a:latin typeface="Lato Black" panose="020F0A02020204030203" pitchFamily="34" charset="0"/>
                <a:ea typeface="+mn-ea"/>
                <a:cs typeface="Times New Roman" panose="02020603050405020304" pitchFamily="18" charset="0"/>
              </a:endParaRPr>
            </a:p>
          </xdr:txBody>
        </xdr:sp>
        <xdr:sp macro="" textlink="">
          <xdr:nvSpPr>
            <xdr:cNvPr id="51" name="TextBox 50">
              <a:extLst>
                <a:ext uri="{FF2B5EF4-FFF2-40B4-BE49-F238E27FC236}">
                  <a16:creationId xmlns:a16="http://schemas.microsoft.com/office/drawing/2014/main" id="{6183185B-8C39-4976-95DC-B6F3517432B1}"/>
                </a:ext>
              </a:extLst>
            </xdr:cNvPr>
            <xdr:cNvSpPr txBox="1"/>
          </xdr:nvSpPr>
          <xdr:spPr>
            <a:xfrm>
              <a:off x="8292427" y="1714848"/>
              <a:ext cx="3832619"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rgbClr val="C00000"/>
                  </a:solidFill>
                  <a:latin typeface="Lato Black" panose="020F0A02020204030203" pitchFamily="34" charset="0"/>
                </a:rPr>
                <a:t>ANC Td Immunization Coverage</a:t>
              </a:r>
              <a:endParaRPr lang="en-IN" sz="1100" b="0" cap="none" spc="0">
                <a:ln>
                  <a:noFill/>
                </a:ln>
                <a:solidFill>
                  <a:srgbClr val="C00000"/>
                </a:solidFill>
                <a:effectLst/>
                <a:latin typeface="Lato Black" panose="020F0A02020204030203" pitchFamily="34" charset="0"/>
              </a:endParaRPr>
            </a:p>
          </xdr:txBody>
        </xdr:sp>
        <xdr:sp macro="" textlink="">
          <xdr:nvSpPr>
            <xdr:cNvPr id="52" name="TextBox 51">
              <a:extLst>
                <a:ext uri="{FF2B5EF4-FFF2-40B4-BE49-F238E27FC236}">
                  <a16:creationId xmlns:a16="http://schemas.microsoft.com/office/drawing/2014/main" id="{DBC10A0E-D57D-4BDB-A99C-404D03B42506}"/>
                </a:ext>
              </a:extLst>
            </xdr:cNvPr>
            <xdr:cNvSpPr txBox="1"/>
          </xdr:nvSpPr>
          <xdr:spPr>
            <a:xfrm>
              <a:off x="4186907" y="1738353"/>
              <a:ext cx="3725162"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rgbClr val="C00000"/>
                  </a:solidFill>
                  <a:latin typeface="Lato Black" panose="020F0A02020204030203" pitchFamily="34" charset="0"/>
                </a:rPr>
                <a:t>Age-Specific ANC Registrations</a:t>
              </a:r>
              <a:endParaRPr lang="en-IN" sz="1100" b="0" cap="none" spc="0">
                <a:ln>
                  <a:noFill/>
                </a:ln>
                <a:solidFill>
                  <a:srgbClr val="C00000"/>
                </a:solidFill>
                <a:effectLst/>
                <a:latin typeface="Lato Black" panose="020F0A02020204030203" pitchFamily="34" charset="0"/>
              </a:endParaRPr>
            </a:p>
          </xdr:txBody>
        </xdr:sp>
        <xdr:sp macro="" textlink="">
          <xdr:nvSpPr>
            <xdr:cNvPr id="53" name="TextBox 52">
              <a:extLst>
                <a:ext uri="{FF2B5EF4-FFF2-40B4-BE49-F238E27FC236}">
                  <a16:creationId xmlns:a16="http://schemas.microsoft.com/office/drawing/2014/main" id="{18C0D681-A13E-4E22-99D4-5E055EB19EDD}"/>
                </a:ext>
              </a:extLst>
            </xdr:cNvPr>
            <xdr:cNvSpPr txBox="1"/>
          </xdr:nvSpPr>
          <xdr:spPr>
            <a:xfrm>
              <a:off x="300694" y="1748715"/>
              <a:ext cx="3546068"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a:noFill/>
                  </a:ln>
                  <a:solidFill>
                    <a:srgbClr val="C00000"/>
                  </a:solidFill>
                  <a:effectLst/>
                  <a:latin typeface="Lato Black" panose="020F0A02020204030203" pitchFamily="34" charset="0"/>
                  <a:ea typeface="Yu Mincho Light" panose="020B0400000000000000" pitchFamily="18" charset="-128"/>
                  <a:cs typeface="Times New Roman" panose="02020603050405020304" pitchFamily="18" charset="0"/>
                </a:rPr>
                <a:t>Total New ANC Registrations</a:t>
              </a:r>
            </a:p>
          </xdr:txBody>
        </xdr:sp>
        <xdr:sp macro="" textlink="">
          <xdr:nvSpPr>
            <xdr:cNvPr id="54" name="TextBox 53">
              <a:extLst>
                <a:ext uri="{FF2B5EF4-FFF2-40B4-BE49-F238E27FC236}">
                  <a16:creationId xmlns:a16="http://schemas.microsoft.com/office/drawing/2014/main" id="{8ABFD6E6-6573-45F8-A730-F48BE53BF186}"/>
                </a:ext>
              </a:extLst>
            </xdr:cNvPr>
            <xdr:cNvSpPr txBox="1"/>
          </xdr:nvSpPr>
          <xdr:spPr>
            <a:xfrm>
              <a:off x="266843" y="4140291"/>
              <a:ext cx="3450024"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a:solidFill>
                    <a:srgbClr val="C00000"/>
                  </a:solidFill>
                  <a:latin typeface="Lato Black" panose="020F0A02020204030203" pitchFamily="34" charset="0"/>
                </a:rPr>
                <a:t>ANC Hb &amp; Anaemia Cases</a:t>
              </a:r>
              <a:endParaRPr kumimoji="0" lang="en-IN" sz="1400" b="0" i="0" u="none" strike="noStrike" kern="0" cap="none" spc="0" normalizeH="0" baseline="0" noProof="0">
                <a:ln>
                  <a:noFill/>
                </a:ln>
                <a:solidFill>
                  <a:srgbClr val="C00000"/>
                </a:solidFill>
                <a:effectLst/>
                <a:uLnTx/>
                <a:uFillTx/>
                <a:latin typeface="Lato Black" panose="020F0A02020204030203" pitchFamily="34" charset="0"/>
                <a:ea typeface="+mn-ea"/>
                <a:cs typeface="Times New Roman" panose="02020603050405020304" pitchFamily="18" charset="0"/>
              </a:endParaRPr>
            </a:p>
          </xdr:txBody>
        </xdr:sp>
        <xdr:sp macro="" textlink="">
          <xdr:nvSpPr>
            <xdr:cNvPr id="55" name="TextBox 54">
              <a:extLst>
                <a:ext uri="{FF2B5EF4-FFF2-40B4-BE49-F238E27FC236}">
                  <a16:creationId xmlns:a16="http://schemas.microsoft.com/office/drawing/2014/main" id="{541387D9-6230-4D80-9BC0-DD9B072A369C}"/>
                </a:ext>
              </a:extLst>
            </xdr:cNvPr>
            <xdr:cNvSpPr txBox="1"/>
          </xdr:nvSpPr>
          <xdr:spPr>
            <a:xfrm>
              <a:off x="4004733" y="4157855"/>
              <a:ext cx="2669547"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C00000"/>
                  </a:solidFill>
                  <a:latin typeface="Lato Black" panose="020F0A02020204030203" pitchFamily="34" charset="0"/>
                </a:rPr>
                <a:t>ANC GDM Care</a:t>
              </a:r>
              <a:endParaRPr lang="en-IN" sz="1100" b="1" cap="none" spc="0">
                <a:ln>
                  <a:noFill/>
                </a:ln>
                <a:solidFill>
                  <a:srgbClr val="C00000"/>
                </a:solidFill>
                <a:effectLst/>
                <a:latin typeface="Lato Black" panose="020F0A02020204030203" pitchFamily="34" charset="0"/>
              </a:endParaRPr>
            </a:p>
          </xdr:txBody>
        </xdr:sp>
        <xdr:sp macro="" textlink="">
          <xdr:nvSpPr>
            <xdr:cNvPr id="57" name="TextBox 56">
              <a:extLst>
                <a:ext uri="{FF2B5EF4-FFF2-40B4-BE49-F238E27FC236}">
                  <a16:creationId xmlns:a16="http://schemas.microsoft.com/office/drawing/2014/main" id="{0A337AB2-8060-4114-96DC-637134DD4F3E}"/>
                </a:ext>
              </a:extLst>
            </xdr:cNvPr>
            <xdr:cNvSpPr txBox="1"/>
          </xdr:nvSpPr>
          <xdr:spPr>
            <a:xfrm>
              <a:off x="6912855" y="4174788"/>
              <a:ext cx="2614777"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1400" b="1">
                  <a:solidFill>
                    <a:srgbClr val="C00000"/>
                  </a:solidFill>
                  <a:latin typeface="Lato Black" panose="020F0A02020204030203" pitchFamily="34" charset="0"/>
                </a:rPr>
                <a:t>HRP Delivery Complications</a:t>
              </a:r>
              <a:endParaRPr lang="en-IN" sz="1100" b="1" cap="none" spc="0">
                <a:ln>
                  <a:noFill/>
                </a:ln>
                <a:solidFill>
                  <a:srgbClr val="C00000"/>
                </a:solidFill>
                <a:effectLst/>
                <a:latin typeface="Lato Black" panose="020F0A02020204030203" pitchFamily="34" charset="0"/>
              </a:endParaRPr>
            </a:p>
          </xdr:txBody>
        </xdr:sp>
        <xdr:sp macro="" textlink="">
          <xdr:nvSpPr>
            <xdr:cNvPr id="58" name="TextBox 57">
              <a:extLst>
                <a:ext uri="{FF2B5EF4-FFF2-40B4-BE49-F238E27FC236}">
                  <a16:creationId xmlns:a16="http://schemas.microsoft.com/office/drawing/2014/main" id="{24DD9D34-1F91-402A-9CA6-910A93B79C27}"/>
                </a:ext>
              </a:extLst>
            </xdr:cNvPr>
            <xdr:cNvSpPr txBox="1"/>
          </xdr:nvSpPr>
          <xdr:spPr>
            <a:xfrm>
              <a:off x="9940687" y="4140920"/>
              <a:ext cx="3331155"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400" b="0" cap="none" spc="0">
                  <a:ln>
                    <a:noFill/>
                  </a:ln>
                  <a:solidFill>
                    <a:srgbClr val="C00000"/>
                  </a:solidFill>
                  <a:effectLst/>
                  <a:latin typeface="Lato Black" panose="020F0A02020204030203" pitchFamily="34" charset="0"/>
                </a:rPr>
                <a:t>Antepartum</a:t>
              </a:r>
              <a:r>
                <a:rPr lang="en-IN" sz="1400" b="0" cap="none" spc="0" baseline="0">
                  <a:ln>
                    <a:noFill/>
                  </a:ln>
                  <a:solidFill>
                    <a:srgbClr val="C00000"/>
                  </a:solidFill>
                  <a:effectLst/>
                  <a:latin typeface="Lato Black" panose="020F0A02020204030203" pitchFamily="34" charset="0"/>
                </a:rPr>
                <a:t> &amp; Intrapartum Cases</a:t>
              </a:r>
              <a:endParaRPr lang="en-IN" sz="1400" b="0" cap="none" spc="0">
                <a:ln>
                  <a:noFill/>
                </a:ln>
                <a:solidFill>
                  <a:srgbClr val="C00000"/>
                </a:solidFill>
                <a:effectLst/>
                <a:latin typeface="Lato Black" panose="020F0A02020204030203" pitchFamily="34" charset="0"/>
              </a:endParaRPr>
            </a:p>
          </xdr:txBody>
        </xdr:sp>
        <xdr:sp macro="" textlink="">
          <xdr:nvSpPr>
            <xdr:cNvPr id="59" name="TextBox 58">
              <a:extLst>
                <a:ext uri="{FF2B5EF4-FFF2-40B4-BE49-F238E27FC236}">
                  <a16:creationId xmlns:a16="http://schemas.microsoft.com/office/drawing/2014/main" id="{29870B3E-A313-4B57-8848-109A1E9E46DC}"/>
                </a:ext>
              </a:extLst>
            </xdr:cNvPr>
            <xdr:cNvSpPr txBox="1"/>
          </xdr:nvSpPr>
          <xdr:spPr>
            <a:xfrm>
              <a:off x="13495577" y="4123989"/>
              <a:ext cx="2328226" cy="25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kumimoji="0" lang="en-IN" sz="1400" b="0" i="0" u="none" strike="noStrike" kern="0" cap="none" spc="0" normalizeH="0" baseline="0" noProof="0">
                  <a:ln>
                    <a:noFill/>
                  </a:ln>
                  <a:solidFill>
                    <a:srgbClr val="C00000"/>
                  </a:solidFill>
                  <a:effectLst/>
                  <a:uLnTx/>
                  <a:uFillTx/>
                  <a:latin typeface="Lato Black" panose="020F0A02020204030203" pitchFamily="34" charset="0"/>
                  <a:ea typeface="+mn-ea"/>
                  <a:cs typeface="Times New Roman" panose="02020603050405020304" pitchFamily="18" charset="0"/>
                </a:rPr>
                <a:t>Filter Panel</a:t>
              </a:r>
            </a:p>
          </xdr:txBody>
        </xdr:sp>
        <mc:AlternateContent xmlns:mc="http://schemas.openxmlformats.org/markup-compatibility/2006" xmlns:a14="http://schemas.microsoft.com/office/drawing/2010/main">
          <mc:Choice Requires="a14">
            <xdr:graphicFrame macro="">
              <xdr:nvGraphicFramePr>
                <xdr:cNvPr id="61" name="Sub-District / ULB Name 3">
                  <a:extLst>
                    <a:ext uri="{FF2B5EF4-FFF2-40B4-BE49-F238E27FC236}">
                      <a16:creationId xmlns:a16="http://schemas.microsoft.com/office/drawing/2014/main" id="{12F524BF-11C7-4D6B-BFF0-4F0EE89431D5}"/>
                    </a:ext>
                  </a:extLst>
                </xdr:cNvPr>
                <xdr:cNvGraphicFramePr/>
              </xdr:nvGraphicFramePr>
              <xdr:xfrm>
                <a:off x="13476958" y="4497566"/>
                <a:ext cx="1037826" cy="1248763"/>
              </xdr:xfrm>
              <a:graphic>
                <a:graphicData uri="http://schemas.microsoft.com/office/drawing/2010/slicer">
                  <sle:slicer xmlns:sle="http://schemas.microsoft.com/office/drawing/2010/slicer" name="Sub-District / ULB Name 3"/>
                </a:graphicData>
              </a:graphic>
            </xdr:graphicFrame>
          </mc:Choice>
          <mc:Fallback xmlns="">
            <xdr:sp macro="" textlink="">
              <xdr:nvSpPr>
                <xdr:cNvPr id="0" name=""/>
                <xdr:cNvSpPr>
                  <a:spLocks noTextEdit="1"/>
                </xdr:cNvSpPr>
              </xdr:nvSpPr>
              <xdr:spPr>
                <a:xfrm>
                  <a:off x="13476958" y="5323208"/>
                  <a:ext cx="1037826" cy="14780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62" name="PHC Name 3">
                  <a:extLst>
                    <a:ext uri="{FF2B5EF4-FFF2-40B4-BE49-F238E27FC236}">
                      <a16:creationId xmlns:a16="http://schemas.microsoft.com/office/drawing/2014/main" id="{EA127ED4-9591-441D-AD24-1CADC1306363}"/>
                    </a:ext>
                  </a:extLst>
                </xdr:cNvPr>
                <xdr:cNvGraphicFramePr/>
              </xdr:nvGraphicFramePr>
              <xdr:xfrm>
                <a:off x="14564576" y="4497565"/>
                <a:ext cx="1296673" cy="2053096"/>
              </xdr:xfrm>
              <a:graphic>
                <a:graphicData uri="http://schemas.microsoft.com/office/drawing/2010/slicer">
                  <sle:slicer xmlns:sle="http://schemas.microsoft.com/office/drawing/2010/slicer" name="PHC Name 3"/>
                </a:graphicData>
              </a:graphic>
            </xdr:graphicFrame>
          </mc:Choice>
          <mc:Fallback xmlns="">
            <xdr:sp macro="" textlink="">
              <xdr:nvSpPr>
                <xdr:cNvPr id="0" name=""/>
                <xdr:cNvSpPr>
                  <a:spLocks noTextEdit="1"/>
                </xdr:cNvSpPr>
              </xdr:nvSpPr>
              <xdr:spPr>
                <a:xfrm>
                  <a:off x="14564576" y="5323207"/>
                  <a:ext cx="1296673" cy="24299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cx2="http://schemas.microsoft.com/office/drawing/2015/10/21/chartex" Requires="cx2">
            <xdr:graphicFrame macro="">
              <xdr:nvGraphicFramePr>
                <xdr:cNvPr id="2" name="Chart 1">
                  <a:extLst>
                    <a:ext uri="{FF2B5EF4-FFF2-40B4-BE49-F238E27FC236}">
                      <a16:creationId xmlns:a16="http://schemas.microsoft.com/office/drawing/2014/main" id="{7878EF3E-82C3-47C6-B95F-AAF7D7707718}"/>
                    </a:ext>
                  </a:extLst>
                </xdr:cNvPr>
                <xdr:cNvGraphicFramePr/>
              </xdr:nvGraphicFramePr>
              <xdr:xfrm>
                <a:off x="202604" y="2105660"/>
                <a:ext cx="3748710" cy="1888068"/>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02604" y="2105660"/>
                  <a:ext cx="3748710" cy="188806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7" name="Chart 6">
              <a:extLst>
                <a:ext uri="{FF2B5EF4-FFF2-40B4-BE49-F238E27FC236}">
                  <a16:creationId xmlns:a16="http://schemas.microsoft.com/office/drawing/2014/main" id="{00F8E63D-BE37-4043-8044-35725E0F2414}"/>
                </a:ext>
              </a:extLst>
            </xdr:cNvPr>
            <xdr:cNvGraphicFramePr>
              <a:graphicFrameLocks/>
            </xdr:cNvGraphicFramePr>
          </xdr:nvGraphicFramePr>
          <xdr:xfrm>
            <a:off x="4145067" y="2097195"/>
            <a:ext cx="3849799" cy="1972733"/>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3" name="Chart 32">
              <a:extLst>
                <a:ext uri="{FF2B5EF4-FFF2-40B4-BE49-F238E27FC236}">
                  <a16:creationId xmlns:a16="http://schemas.microsoft.com/office/drawing/2014/main" id="{89BC1AF2-11A4-41B8-B8B9-F68784A93775}"/>
                </a:ext>
              </a:extLst>
            </xdr:cNvPr>
            <xdr:cNvGraphicFramePr>
              <a:graphicFrameLocks/>
            </xdr:cNvGraphicFramePr>
          </xdr:nvGraphicFramePr>
          <xdr:xfrm>
            <a:off x="8121225" y="2046395"/>
            <a:ext cx="4127794" cy="1964268"/>
          </xdr:xfrm>
          <a:graphic>
            <a:graphicData uri="http://schemas.openxmlformats.org/drawingml/2006/chart">
              <c:chart xmlns:c="http://schemas.openxmlformats.org/drawingml/2006/chart" xmlns:r="http://schemas.openxmlformats.org/officeDocument/2006/relationships" r:id="rId3"/>
            </a:graphicData>
          </a:graphic>
        </xdr:graphicFrame>
        <xdr:sp macro="" textlink="'PW new registered'!B11">
          <xdr:nvSpPr>
            <xdr:cNvPr id="56" name="TextBox 55">
              <a:extLst>
                <a:ext uri="{FF2B5EF4-FFF2-40B4-BE49-F238E27FC236}">
                  <a16:creationId xmlns:a16="http://schemas.microsoft.com/office/drawing/2014/main" id="{00EFAA4A-08B9-87BF-C398-3DF7FAC4E7AE}"/>
                </a:ext>
              </a:extLst>
            </xdr:cNvPr>
            <xdr:cNvSpPr txBox="1"/>
          </xdr:nvSpPr>
          <xdr:spPr>
            <a:xfrm>
              <a:off x="8870968" y="369996"/>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3CADA72-1D91-4526-8AF7-0FC9F210948F}"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13120</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Diabetics!E5">
          <xdr:nvSpPr>
            <xdr:cNvPr id="60" name="TextBox 59">
              <a:extLst>
                <a:ext uri="{FF2B5EF4-FFF2-40B4-BE49-F238E27FC236}">
                  <a16:creationId xmlns:a16="http://schemas.microsoft.com/office/drawing/2014/main" id="{8D66E1D2-BB9E-4AE6-9EAD-615ED12A33E9}"/>
                </a:ext>
              </a:extLst>
            </xdr:cNvPr>
            <xdr:cNvSpPr txBox="1"/>
          </xdr:nvSpPr>
          <xdr:spPr>
            <a:xfrm>
              <a:off x="851256" y="1159933"/>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D2903A-8CDF-4F32-9BA0-A42763C0B7DB}"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1099</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Syphilis records'!E5">
          <xdr:nvSpPr>
            <xdr:cNvPr id="67" name="TextBox 66">
              <a:extLst>
                <a:ext uri="{FF2B5EF4-FFF2-40B4-BE49-F238E27FC236}">
                  <a16:creationId xmlns:a16="http://schemas.microsoft.com/office/drawing/2014/main" id="{E8650C7C-AB52-4263-A0A1-043667C0277B}"/>
                </a:ext>
              </a:extLst>
            </xdr:cNvPr>
            <xdr:cNvSpPr txBox="1"/>
          </xdr:nvSpPr>
          <xdr:spPr>
            <a:xfrm>
              <a:off x="3429021" y="1134533"/>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713F6F-74E2-4BB6-B170-6D6AC92144AF}"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81</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Thyroid and TB'!E5">
          <xdr:nvSpPr>
            <xdr:cNvPr id="68" name="TextBox 67">
              <a:extLst>
                <a:ext uri="{FF2B5EF4-FFF2-40B4-BE49-F238E27FC236}">
                  <a16:creationId xmlns:a16="http://schemas.microsoft.com/office/drawing/2014/main" id="{DFE62CAB-E09A-461B-BFA8-868CC212C419}"/>
                </a:ext>
              </a:extLst>
            </xdr:cNvPr>
            <xdr:cNvSpPr txBox="1"/>
          </xdr:nvSpPr>
          <xdr:spPr>
            <a:xfrm>
              <a:off x="6065754" y="1143000"/>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1CBCD9-4F62-4503-8DD5-35831A2EF23E}"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26</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Thyroid and TB'!M5">
          <xdr:nvSpPr>
            <xdr:cNvPr id="69" name="TextBox 68">
              <a:extLst>
                <a:ext uri="{FF2B5EF4-FFF2-40B4-BE49-F238E27FC236}">
                  <a16:creationId xmlns:a16="http://schemas.microsoft.com/office/drawing/2014/main" id="{90E2A32C-7F84-4C56-B4F8-7BBDEA9B1D32}"/>
                </a:ext>
              </a:extLst>
            </xdr:cNvPr>
            <xdr:cNvSpPr txBox="1"/>
          </xdr:nvSpPr>
          <xdr:spPr>
            <a:xfrm>
              <a:off x="8854120" y="1134533"/>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BBDDAAF-ECC2-4B1F-8979-24A701F07FBB}"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921</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HRP!E5">
          <xdr:nvSpPr>
            <xdr:cNvPr id="70" name="TextBox 69">
              <a:extLst>
                <a:ext uri="{FF2B5EF4-FFF2-40B4-BE49-F238E27FC236}">
                  <a16:creationId xmlns:a16="http://schemas.microsoft.com/office/drawing/2014/main" id="{CB7114A8-021C-4426-9986-DBC0C8D11BEE}"/>
                </a:ext>
              </a:extLst>
            </xdr:cNvPr>
            <xdr:cNvSpPr txBox="1"/>
          </xdr:nvSpPr>
          <xdr:spPr>
            <a:xfrm>
              <a:off x="11457157" y="1134533"/>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222D4D-CC7F-4986-B294-A561339A7ABD}"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227</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Hypertension!E5">
          <xdr:nvSpPr>
            <xdr:cNvPr id="71" name="TextBox 70">
              <a:extLst>
                <a:ext uri="{FF2B5EF4-FFF2-40B4-BE49-F238E27FC236}">
                  <a16:creationId xmlns:a16="http://schemas.microsoft.com/office/drawing/2014/main" id="{9D2298F6-B1BD-40B5-B594-D041981EB32D}"/>
                </a:ext>
              </a:extLst>
            </xdr:cNvPr>
            <xdr:cNvSpPr txBox="1"/>
          </xdr:nvSpPr>
          <xdr:spPr>
            <a:xfrm>
              <a:off x="11372915" y="381000"/>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110682-152D-4F43-9EDE-16655EDDD863}"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644</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HRP!E24">
          <xdr:nvSpPr>
            <xdr:cNvPr id="72" name="TextBox 71">
              <a:extLst>
                <a:ext uri="{FF2B5EF4-FFF2-40B4-BE49-F238E27FC236}">
                  <a16:creationId xmlns:a16="http://schemas.microsoft.com/office/drawing/2014/main" id="{CE95CD65-95B2-4AE1-A472-D62DA2454036}"/>
                </a:ext>
              </a:extLst>
            </xdr:cNvPr>
            <xdr:cNvSpPr txBox="1"/>
          </xdr:nvSpPr>
          <xdr:spPr>
            <a:xfrm>
              <a:off x="14068618" y="1117600"/>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02CE876-F4F6-4F81-9B0A-47D875AD3A2D}"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2978</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sp macro="" textlink="'Hb records'!E6">
          <xdr:nvSpPr>
            <xdr:cNvPr id="73" name="TextBox 72">
              <a:extLst>
                <a:ext uri="{FF2B5EF4-FFF2-40B4-BE49-F238E27FC236}">
                  <a16:creationId xmlns:a16="http://schemas.microsoft.com/office/drawing/2014/main" id="{38EBC6FC-ACFB-4E8A-AB3C-044A46E5E418}"/>
                </a:ext>
              </a:extLst>
            </xdr:cNvPr>
            <xdr:cNvSpPr txBox="1"/>
          </xdr:nvSpPr>
          <xdr:spPr>
            <a:xfrm>
              <a:off x="14009650" y="347133"/>
              <a:ext cx="1272034" cy="330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9DD438-DAA4-41AD-BDBA-2F732F73CDB1}" type="TxLink">
                <a:rPr lang="en-US" sz="2400" b="1" i="0" u="none" strike="noStrike"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a typeface="Calibri"/>
                  <a:cs typeface="Calibri"/>
                </a:rPr>
                <a:pPr algn="ctr"/>
                <a:t>10473</a:t>
              </a:fld>
              <a:endParaRPr lang="en-IN" sz="2400" b="1" cap="none" spc="0">
                <a:ln w="0"/>
                <a:solidFill>
                  <a:srgbClr val="002060"/>
                </a:solidFill>
                <a:effectLst>
                  <a:outerShdw blurRad="38100" dist="19050" dir="2700000" algn="tl" rotWithShape="0">
                    <a:schemeClr val="dk1">
                      <a:alpha val="40000"/>
                    </a:schemeClr>
                  </a:outerShdw>
                </a:effectLst>
                <a:latin typeface="Lato Black" panose="020F0A02020204030203" pitchFamily="34" charset="0"/>
              </a:endParaRPr>
            </a:p>
          </xdr:txBody>
        </xdr:sp>
        <xdr:graphicFrame macro="">
          <xdr:nvGraphicFramePr>
            <xdr:cNvPr id="76" name="Chart 75">
              <a:extLst>
                <a:ext uri="{FF2B5EF4-FFF2-40B4-BE49-F238E27FC236}">
                  <a16:creationId xmlns:a16="http://schemas.microsoft.com/office/drawing/2014/main" id="{DE0ED963-D758-4138-9CF2-93EAE030F82F}"/>
                </a:ext>
              </a:extLst>
            </xdr:cNvPr>
            <xdr:cNvGraphicFramePr>
              <a:graphicFrameLocks/>
            </xdr:cNvGraphicFramePr>
          </xdr:nvGraphicFramePr>
          <xdr:xfrm>
            <a:off x="12434348" y="2071795"/>
            <a:ext cx="3411747" cy="192193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77" name="Chart 76">
              <a:extLst>
                <a:ext uri="{FF2B5EF4-FFF2-40B4-BE49-F238E27FC236}">
                  <a16:creationId xmlns:a16="http://schemas.microsoft.com/office/drawing/2014/main" id="{460ABDD3-50AD-4CAF-A8DC-0BE479006CA1}"/>
                </a:ext>
              </a:extLst>
            </xdr:cNvPr>
            <xdr:cNvGraphicFramePr>
              <a:graphicFrameLocks/>
            </xdr:cNvGraphicFramePr>
          </xdr:nvGraphicFramePr>
          <xdr:xfrm>
            <a:off x="9620711" y="4569462"/>
            <a:ext cx="1992290" cy="1955800"/>
          </xdr:xfrm>
          <a:graphic>
            <a:graphicData uri="http://schemas.openxmlformats.org/drawingml/2006/chart">
              <c:chart xmlns:c="http://schemas.openxmlformats.org/drawingml/2006/chart" xmlns:r="http://schemas.openxmlformats.org/officeDocument/2006/relationships" r:id="rId5"/>
            </a:graphicData>
          </a:graphic>
        </xdr:graphicFrame>
        <xdr:graphicFrame macro="">
          <xdr:nvGraphicFramePr>
            <xdr:cNvPr id="78" name="Chart 77">
              <a:extLst>
                <a:ext uri="{FF2B5EF4-FFF2-40B4-BE49-F238E27FC236}">
                  <a16:creationId xmlns:a16="http://schemas.microsoft.com/office/drawing/2014/main" id="{1F0266C0-C963-4A50-A319-A6E85437C41F}"/>
                </a:ext>
              </a:extLst>
            </xdr:cNvPr>
            <xdr:cNvGraphicFramePr>
              <a:graphicFrameLocks/>
            </xdr:cNvGraphicFramePr>
          </xdr:nvGraphicFramePr>
          <xdr:xfrm>
            <a:off x="11204435" y="4544060"/>
            <a:ext cx="2159878" cy="2040467"/>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65" name="Chart 64">
              <a:extLst>
                <a:ext uri="{FF2B5EF4-FFF2-40B4-BE49-F238E27FC236}">
                  <a16:creationId xmlns:a16="http://schemas.microsoft.com/office/drawing/2014/main" id="{BD74F561-0958-4EDC-B14B-308AAA142F4A}"/>
                </a:ext>
              </a:extLst>
            </xdr:cNvPr>
            <xdr:cNvGraphicFramePr>
              <a:graphicFrameLocks/>
            </xdr:cNvGraphicFramePr>
          </xdr:nvGraphicFramePr>
          <xdr:xfrm>
            <a:off x="6688665" y="4546599"/>
            <a:ext cx="3437468" cy="2125133"/>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66" name="Chart 65">
              <a:extLst>
                <a:ext uri="{FF2B5EF4-FFF2-40B4-BE49-F238E27FC236}">
                  <a16:creationId xmlns:a16="http://schemas.microsoft.com/office/drawing/2014/main" id="{087C720B-601D-4F65-BE3E-30998A260425}"/>
                </a:ext>
              </a:extLst>
            </xdr:cNvPr>
            <xdr:cNvGraphicFramePr>
              <a:graphicFrameLocks/>
            </xdr:cNvGraphicFramePr>
          </xdr:nvGraphicFramePr>
          <xdr:xfrm>
            <a:off x="3843867" y="4470917"/>
            <a:ext cx="2921001" cy="2260083"/>
          </xdr:xfrm>
          <a:graphic>
            <a:graphicData uri="http://schemas.openxmlformats.org/drawingml/2006/chart">
              <c:chart xmlns:c="http://schemas.openxmlformats.org/drawingml/2006/chart" xmlns:r="http://schemas.openxmlformats.org/officeDocument/2006/relationships" r:id="rId8"/>
            </a:graphicData>
          </a:graphic>
        </xdr:graphicFrame>
      </xdr:grpSp>
      <xdr:graphicFrame macro="">
        <xdr:nvGraphicFramePr>
          <xdr:cNvPr id="81" name="Chart 80">
            <a:extLst>
              <a:ext uri="{FF2B5EF4-FFF2-40B4-BE49-F238E27FC236}">
                <a16:creationId xmlns:a16="http://schemas.microsoft.com/office/drawing/2014/main" id="{7AF2F85A-C23A-47CE-A137-E0F409674909}"/>
              </a:ext>
            </a:extLst>
          </xdr:cNvPr>
          <xdr:cNvGraphicFramePr>
            <a:graphicFrameLocks/>
          </xdr:cNvGraphicFramePr>
        </xdr:nvGraphicFramePr>
        <xdr:xfrm>
          <a:off x="304800" y="5317067"/>
          <a:ext cx="3496733" cy="2506133"/>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editAs="oneCell">
    <xdr:from>
      <xdr:col>22</xdr:col>
      <xdr:colOff>143934</xdr:colOff>
      <xdr:row>35</xdr:row>
      <xdr:rowOff>8468</xdr:rowOff>
    </xdr:from>
    <xdr:to>
      <xdr:col>23</xdr:col>
      <xdr:colOff>491066</xdr:colOff>
      <xdr:row>40</xdr:row>
      <xdr:rowOff>110066</xdr:rowOff>
    </xdr:to>
    <mc:AlternateContent xmlns:mc="http://schemas.openxmlformats.org/markup-compatibility/2006" xmlns:a14="http://schemas.microsoft.com/office/drawing/2010/main">
      <mc:Choice Requires="a14">
        <xdr:graphicFrame macro="">
          <xdr:nvGraphicFramePr>
            <xdr:cNvPr id="83" name="Ownership 1">
              <a:extLst>
                <a:ext uri="{FF2B5EF4-FFF2-40B4-BE49-F238E27FC236}">
                  <a16:creationId xmlns:a16="http://schemas.microsoft.com/office/drawing/2014/main" id="{DC446D8E-399B-44A3-B7EC-DCD89DC122AD}"/>
                </a:ext>
              </a:extLst>
            </xdr:cNvPr>
            <xdr:cNvGraphicFramePr/>
          </xdr:nvGraphicFramePr>
          <xdr:xfrm>
            <a:off x="0" y="0"/>
            <a:ext cx="0" cy="0"/>
          </xdr:xfrm>
          <a:graphic>
            <a:graphicData uri="http://schemas.microsoft.com/office/drawing/2010/slicer">
              <sle:slicer xmlns:sle="http://schemas.microsoft.com/office/drawing/2010/slicer" name="Ownership 1"/>
            </a:graphicData>
          </a:graphic>
        </xdr:graphicFrame>
      </mc:Choice>
      <mc:Fallback xmlns="">
        <xdr:sp macro="" textlink="">
          <xdr:nvSpPr>
            <xdr:cNvPr id="0" name=""/>
            <xdr:cNvSpPr>
              <a:spLocks noTextEdit="1"/>
            </xdr:cNvSpPr>
          </xdr:nvSpPr>
          <xdr:spPr>
            <a:xfrm>
              <a:off x="13555134" y="6527801"/>
              <a:ext cx="956732" cy="10329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335280</xdr:colOff>
      <xdr:row>12</xdr:row>
      <xdr:rowOff>34290</xdr:rowOff>
    </xdr:from>
    <xdr:to>
      <xdr:col>2</xdr:col>
      <xdr:colOff>297180</xdr:colOff>
      <xdr:row>27</xdr:row>
      <xdr:rowOff>34290</xdr:rowOff>
    </xdr:to>
    <mc:AlternateContent xmlns:mc="http://schemas.openxmlformats.org/markup-compatibility/2006">
      <mc:Choice xmlns:cx2="http://schemas.microsoft.com/office/drawing/2015/10/21/chartex" Requires="cx2">
        <xdr:graphicFrame macro="">
          <xdr:nvGraphicFramePr>
            <xdr:cNvPr id="12" name="Chart 11">
              <a:extLst>
                <a:ext uri="{FF2B5EF4-FFF2-40B4-BE49-F238E27FC236}">
                  <a16:creationId xmlns:a16="http://schemas.microsoft.com/office/drawing/2014/main" id="{E0377487-C3A5-C57F-CF23-1684B0FA216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5280" y="2228850"/>
              <a:ext cx="436626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6</xdr:row>
      <xdr:rowOff>102870</xdr:rowOff>
    </xdr:from>
    <xdr:to>
      <xdr:col>4</xdr:col>
      <xdr:colOff>0</xdr:colOff>
      <xdr:row>22</xdr:row>
      <xdr:rowOff>128790</xdr:rowOff>
    </xdr:to>
    <xdr:graphicFrame macro="">
      <xdr:nvGraphicFramePr>
        <xdr:cNvPr id="5" name="Chart 4">
          <a:extLst>
            <a:ext uri="{FF2B5EF4-FFF2-40B4-BE49-F238E27FC236}">
              <a16:creationId xmlns:a16="http://schemas.microsoft.com/office/drawing/2014/main" id="{E6239C2B-87C2-3540-6B50-6AB0FF7AC9A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373380</xdr:colOff>
      <xdr:row>13</xdr:row>
      <xdr:rowOff>3810</xdr:rowOff>
    </xdr:from>
    <xdr:to>
      <xdr:col>6</xdr:col>
      <xdr:colOff>320040</xdr:colOff>
      <xdr:row>28</xdr:row>
      <xdr:rowOff>3810</xdr:rowOff>
    </xdr:to>
    <xdr:graphicFrame macro="">
      <xdr:nvGraphicFramePr>
        <xdr:cNvPr id="2" name="Chart 1">
          <a:extLst>
            <a:ext uri="{FF2B5EF4-FFF2-40B4-BE49-F238E27FC236}">
              <a16:creationId xmlns:a16="http://schemas.microsoft.com/office/drawing/2014/main" id="{EFB84B4B-F851-DBEC-B025-D1BBAA85C6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594360</xdr:colOff>
      <xdr:row>8</xdr:row>
      <xdr:rowOff>38100</xdr:rowOff>
    </xdr:from>
    <xdr:to>
      <xdr:col>11</xdr:col>
      <xdr:colOff>22860</xdr:colOff>
      <xdr:row>24</xdr:row>
      <xdr:rowOff>171450</xdr:rowOff>
    </xdr:to>
    <xdr:graphicFrame macro="">
      <xdr:nvGraphicFramePr>
        <xdr:cNvPr id="5" name="Chart 4">
          <a:extLst>
            <a:ext uri="{FF2B5EF4-FFF2-40B4-BE49-F238E27FC236}">
              <a16:creationId xmlns:a16="http://schemas.microsoft.com/office/drawing/2014/main" id="{FC38D685-CD1A-A37A-FC46-1833E09F3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358140</xdr:colOff>
      <xdr:row>15</xdr:row>
      <xdr:rowOff>45720</xdr:rowOff>
    </xdr:from>
    <xdr:to>
      <xdr:col>2</xdr:col>
      <xdr:colOff>0</xdr:colOff>
      <xdr:row>32</xdr:row>
      <xdr:rowOff>121920</xdr:rowOff>
    </xdr:to>
    <xdr:graphicFrame macro="">
      <xdr:nvGraphicFramePr>
        <xdr:cNvPr id="2" name="Chart 1">
          <a:extLst>
            <a:ext uri="{FF2B5EF4-FFF2-40B4-BE49-F238E27FC236}">
              <a16:creationId xmlns:a16="http://schemas.microsoft.com/office/drawing/2014/main" id="{A7B21473-865B-CAB1-18BA-3F0113849C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1005840</xdr:colOff>
      <xdr:row>16</xdr:row>
      <xdr:rowOff>15240</xdr:rowOff>
    </xdr:from>
    <xdr:to>
      <xdr:col>3</xdr:col>
      <xdr:colOff>213360</xdr:colOff>
      <xdr:row>29</xdr:row>
      <xdr:rowOff>104775</xdr:rowOff>
    </xdr:to>
    <mc:AlternateContent xmlns:mc="http://schemas.openxmlformats.org/markup-compatibility/2006" xmlns:a14="http://schemas.microsoft.com/office/drawing/2010/main">
      <mc:Choice Requires="a14">
        <xdr:graphicFrame macro="">
          <xdr:nvGraphicFramePr>
            <xdr:cNvPr id="4" name="Sub-District / ULB Name 1">
              <a:extLst>
                <a:ext uri="{FF2B5EF4-FFF2-40B4-BE49-F238E27FC236}">
                  <a16:creationId xmlns:a16="http://schemas.microsoft.com/office/drawing/2014/main" id="{B4FF036B-6E9E-1432-9335-58292BF97411}"/>
                </a:ext>
              </a:extLst>
            </xdr:cNvPr>
            <xdr:cNvGraphicFramePr/>
          </xdr:nvGraphicFramePr>
          <xdr:xfrm>
            <a:off x="0" y="0"/>
            <a:ext cx="0" cy="0"/>
          </xdr:xfrm>
          <a:graphic>
            <a:graphicData uri="http://schemas.microsoft.com/office/drawing/2010/slicer">
              <sle:slicer xmlns:sle="http://schemas.microsoft.com/office/drawing/2010/slicer" name="Sub-District / ULB Name 1"/>
            </a:graphicData>
          </a:graphic>
        </xdr:graphicFrame>
      </mc:Choice>
      <mc:Fallback xmlns="">
        <xdr:sp macro="" textlink="">
          <xdr:nvSpPr>
            <xdr:cNvPr id="0" name=""/>
            <xdr:cNvSpPr>
              <a:spLocks noTextEdit="1"/>
            </xdr:cNvSpPr>
          </xdr:nvSpPr>
          <xdr:spPr>
            <a:xfrm>
              <a:off x="3535680" y="29413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1470660</xdr:colOff>
      <xdr:row>16</xdr:row>
      <xdr:rowOff>7620</xdr:rowOff>
    </xdr:from>
    <xdr:to>
      <xdr:col>5</xdr:col>
      <xdr:colOff>68580</xdr:colOff>
      <xdr:row>29</xdr:row>
      <xdr:rowOff>97155</xdr:rowOff>
    </xdr:to>
    <mc:AlternateContent xmlns:mc="http://schemas.openxmlformats.org/markup-compatibility/2006" xmlns:a14="http://schemas.microsoft.com/office/drawing/2010/main">
      <mc:Choice Requires="a14">
        <xdr:graphicFrame macro="">
          <xdr:nvGraphicFramePr>
            <xdr:cNvPr id="5" name="PHC Name 1">
              <a:extLst>
                <a:ext uri="{FF2B5EF4-FFF2-40B4-BE49-F238E27FC236}">
                  <a16:creationId xmlns:a16="http://schemas.microsoft.com/office/drawing/2014/main" id="{8588AB35-A8AA-C157-4ACD-A622A6283803}"/>
                </a:ext>
              </a:extLst>
            </xdr:cNvPr>
            <xdr:cNvGraphicFramePr/>
          </xdr:nvGraphicFramePr>
          <xdr:xfrm>
            <a:off x="0" y="0"/>
            <a:ext cx="0" cy="0"/>
          </xdr:xfrm>
          <a:graphic>
            <a:graphicData uri="http://schemas.microsoft.com/office/drawing/2010/slicer">
              <sle:slicer xmlns:sle="http://schemas.microsoft.com/office/drawing/2010/slicer" name="PHC Name 1"/>
            </a:graphicData>
          </a:graphic>
        </xdr:graphicFrame>
      </mc:Choice>
      <mc:Fallback xmlns="">
        <xdr:sp macro="" textlink="">
          <xdr:nvSpPr>
            <xdr:cNvPr id="0" name=""/>
            <xdr:cNvSpPr>
              <a:spLocks noTextEdit="1"/>
            </xdr:cNvSpPr>
          </xdr:nvSpPr>
          <xdr:spPr>
            <a:xfrm>
              <a:off x="8542020" y="29337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xdr:from>
      <xdr:col>5</xdr:col>
      <xdr:colOff>335280</xdr:colOff>
      <xdr:row>6</xdr:row>
      <xdr:rowOff>41910</xdr:rowOff>
    </xdr:from>
    <xdr:to>
      <xdr:col>13</xdr:col>
      <xdr:colOff>30480</xdr:colOff>
      <xdr:row>21</xdr:row>
      <xdr:rowOff>41910</xdr:rowOff>
    </xdr:to>
    <xdr:graphicFrame macro="">
      <xdr:nvGraphicFramePr>
        <xdr:cNvPr id="5" name="Chart 4">
          <a:extLst>
            <a:ext uri="{FF2B5EF4-FFF2-40B4-BE49-F238E27FC236}">
              <a16:creationId xmlns:a16="http://schemas.microsoft.com/office/drawing/2014/main" id="{ED5D345D-2199-4604-0FDE-BA1F0746DB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68580</xdr:colOff>
      <xdr:row>18</xdr:row>
      <xdr:rowOff>91440</xdr:rowOff>
    </xdr:from>
    <xdr:to>
      <xdr:col>9</xdr:col>
      <xdr:colOff>411480</xdr:colOff>
      <xdr:row>26</xdr:row>
      <xdr:rowOff>125730</xdr:rowOff>
    </xdr:to>
    <xdr:graphicFrame macro="">
      <xdr:nvGraphicFramePr>
        <xdr:cNvPr id="5" name="Chart 4">
          <a:extLst>
            <a:ext uri="{FF2B5EF4-FFF2-40B4-BE49-F238E27FC236}">
              <a16:creationId xmlns:a16="http://schemas.microsoft.com/office/drawing/2014/main" id="{F032905F-D5E4-2CC7-8FD9-F74F1ABE57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464820</xdr:colOff>
      <xdr:row>1</xdr:row>
      <xdr:rowOff>68580</xdr:rowOff>
    </xdr:from>
    <xdr:to>
      <xdr:col>10</xdr:col>
      <xdr:colOff>197220</xdr:colOff>
      <xdr:row>9</xdr:row>
      <xdr:rowOff>103140</xdr:rowOff>
    </xdr:to>
    <xdr:graphicFrame macro="">
      <xdr:nvGraphicFramePr>
        <xdr:cNvPr id="7" name="Chart 6">
          <a:extLst>
            <a:ext uri="{FF2B5EF4-FFF2-40B4-BE49-F238E27FC236}">
              <a16:creationId xmlns:a16="http://schemas.microsoft.com/office/drawing/2014/main" id="{3BCED40C-8ED8-535C-8B63-DE48E1D0F3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205740</xdr:colOff>
      <xdr:row>34</xdr:row>
      <xdr:rowOff>118110</xdr:rowOff>
    </xdr:from>
    <xdr:to>
      <xdr:col>3</xdr:col>
      <xdr:colOff>1249680</xdr:colOff>
      <xdr:row>53</xdr:row>
      <xdr:rowOff>53340</xdr:rowOff>
    </xdr:to>
    <xdr:graphicFrame macro="">
      <xdr:nvGraphicFramePr>
        <xdr:cNvPr id="8" name="Chart 7">
          <a:extLst>
            <a:ext uri="{FF2B5EF4-FFF2-40B4-BE49-F238E27FC236}">
              <a16:creationId xmlns:a16="http://schemas.microsoft.com/office/drawing/2014/main" id="{7E175630-6C32-8FF2-514E-6EA8D8F0E8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720.864461921294" createdVersion="8" refreshedVersion="8" minRefreshableVersion="3" recordCount="484" xr:uid="{EDBA7C9D-B532-4752-B4F8-38BC5F4B21E1}">
  <cacheSource type="worksheet">
    <worksheetSource name="_ANC"/>
  </cacheSource>
  <cacheFields count="51">
    <cacheField name="Sub-District / ULB Name" numFmtId="0">
      <sharedItems count="3">
        <s v="Karkal"/>
        <s v="Kundapura"/>
        <s v="Udupi"/>
      </sharedItems>
    </cacheField>
    <cacheField name="Facility Type" numFmtId="0">
      <sharedItems/>
    </cacheField>
    <cacheField name="PHC Name" numFmtId="0">
      <sharedItems count="82">
        <s v="Muniyal PHC"/>
        <s v="Hebri CHC"/>
        <s v="Ajekar PHC"/>
        <s v="Bailoor PHC"/>
        <s v="Belman PHC"/>
        <s v="Nitte CHC"/>
        <s v="Durga PHC"/>
        <s v="Hirgana PHC"/>
        <s v="Idu PHC"/>
        <s v="Inna PHC"/>
        <s v="Irvathur PHC"/>
        <s v="Donderangadi PHC"/>
        <s v="Palli PHC"/>
        <s v="Mala PHC"/>
        <s v="Kukkundoor PHC"/>
        <s v="Bajagoli PHC"/>
        <s v="Sacheripete PHC"/>
        <s v="Nandalike PHC"/>
        <s v="ESI Hospital"/>
        <s v="GH Karkala"/>
        <s v="NC Marinapura"/>
        <s v="Karkala Other Pvt Hospitals"/>
        <s v="Nada PHC"/>
        <s v="Byndoor CHC"/>
        <s v="Kollur PHC"/>
        <s v="Maravanthe PHC"/>
        <s v="Hallihole PHC"/>
        <s v="Kirimanjeshwara PHC"/>
        <s v="Shiroor PHC"/>
        <s v="Belve PHC"/>
        <s v="Siddapura PHC"/>
        <s v="Aloor PHC"/>
        <s v="Halady PHC"/>
        <s v="Shankarnarayana PHC"/>
        <s v="Basrur PHC"/>
        <s v="Kandlur PHC"/>
        <s v="Vandse PHC"/>
        <s v="Kedur PHC"/>
        <s v="Kumbashi PHC"/>
        <s v="Gangolli PHC"/>
        <s v="Haklady PHC"/>
        <s v="Bidkalkatte PHC"/>
        <s v="Kodi PHC"/>
        <s v="Korgi PHC"/>
        <s v="Koteshwara PHC"/>
        <s v="Kundapura GH"/>
        <s v="NC Kharvikeri"/>
        <s v="NC TT Road"/>
        <s v="Kundapura Other Pvt Hospitals"/>
        <s v="Saibrakatte PHC"/>
        <s v="Pethri PHC"/>
        <s v="Avarse PHC"/>
        <s v="Brahmavara CHC"/>
        <s v="Kota CHC"/>
        <s v="Saligrama PHC"/>
        <s v="Karje PHC"/>
        <s v="Barkur PHC"/>
        <s v="Sasthana PHC"/>
        <s v="Kolalagiri PHC"/>
        <s v="Mandarthi PHC"/>
        <s v="Kodibengre PHC"/>
        <s v="Kokkarne PHC"/>
        <s v="Kukkehalli PHC"/>
        <s v="Shirva CHC"/>
        <s v="Kaup PHC"/>
        <s v="Padubidri PHC"/>
        <s v="Moodabettu PHC"/>
        <s v="Peranankila PHC"/>
        <s v="Mudarangadi PHC"/>
        <s v="Hirebettu PHC"/>
        <s v="Manipura PHC"/>
        <s v="Kemmannu PHC"/>
        <s v="Hiriyadka PHC"/>
        <s v="Malpe PHC"/>
        <s v="Manipal UPHC"/>
        <s v="Kukkikatte UFWC"/>
        <s v="Udupi UPHC"/>
        <s v="NC Beedanagudde"/>
        <s v="NC Kakkunje"/>
        <s v="NC Nittur"/>
        <s v="Udupi Other Pvt Hospitals"/>
        <s v="BRS MCH"/>
      </sharedItems>
    </cacheField>
    <cacheField name="Facility Name" numFmtId="0">
      <sharedItems/>
    </cacheField>
    <cacheField name="Ownership" numFmtId="0">
      <sharedItems count="2">
        <s v="Public"/>
        <s v="Private"/>
      </sharedItems>
    </cacheField>
    <cacheField name="1.1 :: Total number of NEW Pregnant Women registered for ANC " numFmtId="0">
      <sharedItems containsSemiMixedTypes="0" containsString="0" containsNumber="1" containsInteger="1" minValue="0" maxValue="371" count="87">
        <n v="21"/>
        <n v="24"/>
        <n v="51"/>
        <n v="28"/>
        <n v="23"/>
        <n v="12"/>
        <n v="20"/>
        <n v="35"/>
        <n v="13"/>
        <n v="11"/>
        <n v="26"/>
        <n v="16"/>
        <n v="0"/>
        <n v="10"/>
        <n v="45"/>
        <n v="30"/>
        <n v="22"/>
        <n v="33"/>
        <n v="25"/>
        <n v="19"/>
        <n v="18"/>
        <n v="6"/>
        <n v="15"/>
        <n v="41"/>
        <n v="39"/>
        <n v="80"/>
        <n v="29"/>
        <n v="38"/>
        <n v="42"/>
        <n v="5"/>
        <n v="34"/>
        <n v="36"/>
        <n v="31"/>
        <n v="53"/>
        <n v="120"/>
        <n v="37"/>
        <n v="83"/>
        <n v="68"/>
        <n v="44"/>
        <n v="47"/>
        <n v="17"/>
        <n v="48"/>
        <n v="32"/>
        <n v="57"/>
        <n v="14"/>
        <n v="27"/>
        <n v="174"/>
        <n v="100"/>
        <n v="66"/>
        <n v="59"/>
        <n v="52"/>
        <n v="56"/>
        <n v="71"/>
        <n v="69"/>
        <n v="49"/>
        <n v="64"/>
        <n v="43"/>
        <n v="50"/>
        <n v="61"/>
        <n v="60"/>
        <n v="8"/>
        <n v="2"/>
        <n v="67"/>
        <n v="40"/>
        <n v="46"/>
        <n v="81"/>
        <n v="63"/>
        <n v="86"/>
        <n v="65"/>
        <n v="54"/>
        <n v="98"/>
        <n v="91"/>
        <n v="108"/>
        <n v="9"/>
        <n v="84"/>
        <n v="75"/>
        <n v="62"/>
        <n v="89"/>
        <n v="90"/>
        <n v="70"/>
        <n v="93"/>
        <n v="77"/>
        <n v="74"/>
        <n v="371"/>
        <n v="4"/>
        <n v="143"/>
        <n v="288"/>
      </sharedItems>
    </cacheField>
    <cacheField name="1.1.a :: Out of total number of NEW Pregnant Women registered with age &lt;15 years" numFmtId="0">
      <sharedItems containsSemiMixedTypes="0" containsString="0" containsNumber="1" containsInteger="1" minValue="0" maxValue="3"/>
    </cacheField>
    <cacheField name="1.1.b :: Out of total number of NEW Pregnant Women registered with age 15-19 years" numFmtId="0">
      <sharedItems containsSemiMixedTypes="0" containsString="0" containsNumber="1" containsInteger="1" minValue="0" maxValue="5"/>
    </cacheField>
    <cacheField name="1.1.c :: Out of total number of NEW Pregnant Women registered with age &gt;19 to 49 years" numFmtId="0">
      <sharedItems containsSemiMixedTypes="0" containsString="0" containsNumber="1" containsInteger="1" minValue="0" maxValue="371"/>
    </cacheField>
    <cacheField name="1.1.d :: Out of total number of NEW Pregnant Women registered with age &gt;49 years" numFmtId="0">
      <sharedItems containsSemiMixedTypes="0" containsString="0" containsNumber="1" containsInteger="1" minValue="0" maxValue="7"/>
    </cacheField>
    <cacheField name="1.1.1 :: Out of the total NEW ANC registered, number registered within 1st trimester (within 12 weeks)" numFmtId="0">
      <sharedItems containsSemiMixedTypes="0" containsString="0" containsNumber="1" containsInteger="1" minValue="0" maxValue="343"/>
    </cacheField>
    <cacheField name="1.1.2 :: Total ANC footfall/cases (Old cases + New Registration) attended " numFmtId="0">
      <sharedItems containsSemiMixedTypes="0" containsString="0" containsNumber="1" containsInteger="1" minValue="0" maxValue="19871"/>
    </cacheField>
    <cacheField name="1.2.1 :: Number of PW given Td1 (Tetanus Diptheria dose 1)" numFmtId="0">
      <sharedItems containsSemiMixedTypes="0" containsString="0" containsNumber="1" containsInteger="1" minValue="0" maxValue="866"/>
    </cacheField>
    <cacheField name="1.2.2 :: Number of PW given Td2 (Tetanus Diptheria dose 2)" numFmtId="0">
      <sharedItems containsSemiMixedTypes="0" containsString="0" containsNumber="1" containsInteger="1" minValue="0" maxValue="854"/>
    </cacheField>
    <cacheField name="1.2.3 :: Number of PW given Td Booster (Tetanus Diptheria dose booster)" numFmtId="0">
      <sharedItems containsSemiMixedTypes="0" containsString="0" containsNumber="1" containsInteger="1" minValue="0" maxValue="878"/>
    </cacheField>
    <cacheField name="1.2.4 :: Number of PW provided full course 180 Iron Folic Acid (IFA) tablets " numFmtId="0">
      <sharedItems containsSemiMixedTypes="0" containsString="0" containsNumber="1" containsInteger="1" minValue="0" maxValue="4655"/>
    </cacheField>
    <cacheField name="1.2.5 :: Number of PW provided full course 360 Calcium tablets " numFmtId="0">
      <sharedItems containsSemiMixedTypes="0" containsString="0" containsNumber="1" containsInteger="1" minValue="0" maxValue="4334"/>
    </cacheField>
    <cacheField name="1.2.6 :: Number of PW given one Albendazole tablet after 1st trimester" numFmtId="0">
      <sharedItems containsSemiMixedTypes="0" containsString="0" containsNumber="1" containsInteger="1" minValue="0" maxValue="769"/>
    </cacheField>
    <cacheField name="1.2.7 :: Number of PW received 4 or more ANC check ups" numFmtId="0">
      <sharedItems containsSemiMixedTypes="0" containsString="0" containsNumber="1" containsInteger="1" minValue="0" maxValue="1582"/>
    </cacheField>
    <cacheField name="1.2.8 :: Number of PW given ANC Corticosteroids in Pre-Term Labour" numFmtId="0">
      <sharedItems containsSemiMixedTypes="0" containsString="0" containsNumber="1" containsInteger="1" minValue="0" maxValue="808"/>
    </cacheField>
    <cacheField name="1.3.1 :: New cases of PW with hypertension detected " numFmtId="0">
      <sharedItems containsSemiMixedTypes="0" containsString="0" containsNumber="1" containsInteger="1" minValue="0" maxValue="202" count="16">
        <n v="0"/>
        <n v="2"/>
        <n v="1"/>
        <n v="5"/>
        <n v="8"/>
        <n v="7"/>
        <n v="6"/>
        <n v="3"/>
        <n v="57"/>
        <n v="42"/>
        <n v="9"/>
        <n v="201"/>
        <n v="202"/>
        <n v="11"/>
        <n v="32"/>
        <n v="19"/>
      </sharedItems>
    </cacheField>
    <cacheField name="1.3.1.a :: Number of PW with hypertension managed at institution " numFmtId="0">
      <sharedItems containsSemiMixedTypes="0" containsString="0" containsNumber="1" containsInteger="1" minValue="0" maxValue="202"/>
    </cacheField>
    <cacheField name="1.3.2 :: Number of Eclampsia cases managed during delivery" numFmtId="0">
      <sharedItems containsSemiMixedTypes="0" containsString="0" containsNumber="1" containsInteger="1" minValue="0" maxValue="24"/>
    </cacheField>
    <cacheField name="1.4.1 :: Number of PW tested for Haemoglobin (Hb ) 4 or more than 4 times for respective ANCs" numFmtId="0">
      <sharedItems containsSemiMixedTypes="0" containsString="0" containsNumber="1" containsInteger="1" minValue="0" maxValue="908"/>
    </cacheField>
    <cacheField name="1.4.2 :: Number of PW having Hb level&lt;11(7.1 to 10.9 g/dl) (Out of total tested cases)" numFmtId="0">
      <sharedItems containsSemiMixedTypes="0" containsString="0" containsNumber="1" containsInteger="1" minValue="0" maxValue="764"/>
    </cacheField>
    <cacheField name="1.4.3 :: Number of PW having Hb level&lt;=7 g/dl (Out of total tested cases)" numFmtId="0">
      <sharedItems containsSemiMixedTypes="0" containsString="0" containsNumber="1" containsInteger="1" minValue="0" maxValue="115"/>
    </cacheField>
    <cacheField name="1.4.4 :: Number of PW treated for severe anaemia (Hb&lt;=7g/dl) (Out of total tested cases)" numFmtId="0">
      <sharedItems containsSemiMixedTypes="0" containsString="0" containsNumber="1" containsInteger="1" minValue="0" maxValue="115"/>
    </cacheField>
    <cacheField name="1.5.1 :: Number of PW tested for Blood Sugar using OGTT(Oral Glucose Tolerance Test)" numFmtId="0">
      <sharedItems containsSemiMixedTypes="0" containsString="0" containsNumber="1" containsInteger="1" minValue="0" maxValue="2108"/>
    </cacheField>
    <cacheField name="1.5.2 :: Number of PW tested positive for GDM out of total OGTT(Oral Glucose Tolerance Test) conducted" numFmtId="0">
      <sharedItems containsSemiMixedTypes="0" containsString="0" containsNumber="1" containsInteger="1" minValue="0" maxValue="519"/>
    </cacheField>
    <cacheField name="1.5.3 :: Number of PW given Insulin out of total tested positive for GDM" numFmtId="0">
      <sharedItems containsSemiMixedTypes="0" containsString="0" containsNumber="1" containsInteger="1" minValue="0" maxValue="163"/>
    </cacheField>
    <cacheField name="1.5.4 :: Number of PW given Metformin out of total tested positive for GDM" numFmtId="0">
      <sharedItems containsSemiMixedTypes="0" containsString="0" containsNumber="1" containsInteger="1" minValue="0" maxValue="159"/>
    </cacheField>
    <cacheField name="1.6.1.a :: Number of pregnant/Direct-In-Labor (DIL) women screened/tested (with VDRL/RPR/TPHA/RDT/PoC) for Syphilis" numFmtId="0">
      <sharedItems containsSemiMixedTypes="0" containsString="0" containsNumber="1" containsInteger="1" minValue="0" maxValue="544"/>
    </cacheField>
    <cacheField name="1.6.1.b :: Number of pregnant/DIL women found Seropositive for Syphilis by VDRL/RPR/TPHA/RDT/PoC test" numFmtId="0">
      <sharedItems containsSemiMixedTypes="0" containsString="0" containsNumber="1" containsInteger="1" minValue="0" maxValue="41"/>
    </cacheField>
    <cacheField name="1.6.1.c :: Number of pregnant/DIL women found Syphilis-Seropositive and given treatment with injection Benzathine Penicillin (IM)" numFmtId="0">
      <sharedItems containsSemiMixedTypes="0" containsString="0" containsNumber="1" containsInteger="1" minValue="0" maxValue="1"/>
    </cacheField>
    <cacheField name="1.6.1.d :: Number of live births among Syphilis Seropositive Pregnant Women" numFmtId="0">
      <sharedItems containsSemiMixedTypes="0" containsString="0" containsNumber="1" containsInteger="1" minValue="0" maxValue="0"/>
    </cacheField>
    <cacheField name="1.6.1.e :: Number of babies born to Syphilis-Seropositive Pregnant Women tested positive/ clinically diagnosed for congenital Syphilis " numFmtId="0">
      <sharedItems containsSemiMixedTypes="0" containsString="0" containsNumber="1" containsInteger="1" minValue="0" maxValue="0"/>
    </cacheField>
    <cacheField name="1.6.1.f :: Out of above, babies with congenital Syphilis received curative treatment " numFmtId="0">
      <sharedItems containsSemiMixedTypes="0" containsString="0" containsNumber="1" containsInteger="1" minValue="0" maxValue="0"/>
    </cacheField>
    <cacheField name="1.7.1 :: Number of Pregnant Women tested positive for Thyroid disorder" numFmtId="0">
      <sharedItems containsSemiMixedTypes="0" containsString="0" containsNumber="1" containsInteger="1" minValue="0" maxValue="364"/>
    </cacheField>
    <cacheField name="1.7.2 :: Number of Pregnant Women treated for thyroid disorder" numFmtId="0">
      <sharedItems containsSemiMixedTypes="0" containsString="0" containsNumber="1" containsInteger="1" minValue="0" maxValue="364"/>
    </cacheField>
    <cacheField name="1.8.1 :: Number of Pregnant Women screened for TB " numFmtId="0">
      <sharedItems containsSemiMixedTypes="0" containsString="0" containsNumber="1" containsInteger="1" minValue="0" maxValue="247"/>
    </cacheField>
    <cacheField name="1.8.2 :: Number of Pregnant Women identified  with Presumptive TB symptoms" numFmtId="0">
      <sharedItems containsSemiMixedTypes="0" containsString="0" containsNumber="1" containsInteger="1" minValue="0" maxValue="6"/>
    </cacheField>
    <cacheField name="1.8.3 :: Number of Pregnant Women referred out of those identified with Presumptive TB symptoms " numFmtId="0">
      <sharedItems containsSemiMixedTypes="0" containsString="0" containsNumber="1" containsInteger="1" minValue="0" maxValue="9"/>
    </cacheField>
    <cacheField name="1.9.1 :: Total High Risk Pregnancy (HRP) Intrapartum including following:" numFmtId="0">
      <sharedItems containsSemiMixedTypes="0" containsString="0" containsNumber="1" containsInteger="1" minValue="0" maxValue="127"/>
    </cacheField>
    <cacheField name="1.9.1.a :: Number of Pregnant Women with Post-Partum Haemorrhage(Immediately after delivery) in the facility." numFmtId="0">
      <sharedItems containsSemiMixedTypes="0" containsString="0" containsNumber="1" containsInteger="1" minValue="0" maxValue="16"/>
    </cacheField>
    <cacheField name="1.9.1.b :: Number of Pregnant Women with Sepsis in the facility." numFmtId="0">
      <sharedItems containsSemiMixedTypes="0" containsString="0" containsNumber="1" containsInteger="1" minValue="0" maxValue="7"/>
    </cacheField>
    <cacheField name="1.9.1.c :: Number of Pregnant Women identified with Eclampsia in the facility" numFmtId="0">
      <sharedItems containsSemiMixedTypes="0" containsString="0" containsNumber="1" containsInteger="1" minValue="0" maxValue="20"/>
    </cacheField>
    <cacheField name="1.9.1.d :: Number of Pregnant Women identified with obstructed labour in the facility." numFmtId="0">
      <sharedItems containsSemiMixedTypes="0" containsString="0" containsNumber="1" containsInteger="1" minValue="0" maxValue="109"/>
    </cacheField>
    <cacheField name="1.9.2 :: Total High Risk Pregnancy (HRP) Antepartum (Only New Cases are to be reported)" numFmtId="0">
      <sharedItems containsSemiMixedTypes="0" containsString="0" containsNumber="1" containsInteger="1" minValue="0" maxValue="522"/>
    </cacheField>
    <cacheField name="1.9.3 :: Total no. of ANC or PNC cases referred to Higher/ any other  facility" numFmtId="0">
      <sharedItems containsSemiMixedTypes="0" containsString="0" containsNumber="1" containsInteger="1" minValue="0" maxValue="88"/>
    </cacheField>
    <cacheField name="1.9.4 :: Total no. of ANC or PNC cases referred in to the facility" numFmtId="0">
      <sharedItems containsSemiMixedTypes="0" containsString="0" containsNumber="1" containsInteger="1" minValue="0" maxValue="116"/>
    </cacheField>
    <cacheField name="1.9.5 :: Number of Complicated pregnancies treated with Blood Transfusion" numFmtId="0">
      <sharedItems containsSemiMixedTypes="0" containsString="0" containsNumber="1" containsInteger="1" minValue="0" maxValue="76"/>
    </cacheField>
  </cacheFields>
  <extLst>
    <ext xmlns:x14="http://schemas.microsoft.com/office/spreadsheetml/2009/9/main" uri="{725AE2AE-9491-48be-B2B4-4EB974FC3084}">
      <x14:pivotCacheDefinition pivotCacheId="19731250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4">
  <r>
    <x v="0"/>
    <s v="AAM-SC/SC"/>
    <x v="0"/>
    <s v="ANDARU"/>
    <x v="0"/>
    <x v="0"/>
    <n v="0"/>
    <n v="0"/>
    <n v="21"/>
    <n v="0"/>
    <n v="20"/>
    <n v="80"/>
    <n v="5"/>
    <n v="3"/>
    <n v="0"/>
    <n v="9"/>
    <n v="9"/>
    <n v="9"/>
    <n v="15"/>
    <n v="0"/>
    <x v="0"/>
    <n v="0"/>
    <n v="0"/>
    <n v="14"/>
    <n v="2"/>
    <n v="0"/>
    <n v="0"/>
    <n v="0"/>
    <n v="0"/>
    <n v="0"/>
    <n v="0"/>
    <n v="0"/>
    <n v="0"/>
    <n v="0"/>
    <n v="0"/>
    <n v="0"/>
    <n v="0"/>
    <n v="0"/>
    <n v="0"/>
    <n v="68"/>
    <n v="0"/>
    <n v="0"/>
    <n v="0"/>
    <n v="0"/>
    <n v="0"/>
    <n v="0"/>
    <n v="0"/>
    <n v="1"/>
    <n v="0"/>
    <n v="0"/>
    <n v="0"/>
  </r>
  <r>
    <x v="0"/>
    <s v="AAM-SC/SC"/>
    <x v="1"/>
    <s v="BELINJE"/>
    <x v="0"/>
    <x v="1"/>
    <n v="0"/>
    <n v="0"/>
    <n v="24"/>
    <n v="0"/>
    <n v="21"/>
    <n v="166"/>
    <n v="14"/>
    <n v="5"/>
    <n v="1"/>
    <n v="23"/>
    <n v="25"/>
    <n v="20"/>
    <n v="22"/>
    <n v="0"/>
    <x v="0"/>
    <n v="0"/>
    <n v="0"/>
    <n v="19"/>
    <n v="1"/>
    <n v="0"/>
    <n v="0"/>
    <n v="0"/>
    <n v="0"/>
    <n v="0"/>
    <n v="0"/>
    <n v="0"/>
    <n v="0"/>
    <n v="0"/>
    <n v="0"/>
    <n v="0"/>
    <n v="0"/>
    <n v="0"/>
    <n v="0"/>
    <n v="0"/>
    <n v="0"/>
    <n v="0"/>
    <n v="0"/>
    <n v="0"/>
    <n v="0"/>
    <n v="0"/>
    <n v="0"/>
    <n v="0"/>
    <n v="3"/>
    <n v="0"/>
    <n v="0"/>
  </r>
  <r>
    <x v="0"/>
    <s v="AAM-SC/SC"/>
    <x v="1"/>
    <s v="CHARA"/>
    <x v="0"/>
    <x v="2"/>
    <n v="0"/>
    <n v="0"/>
    <n v="51"/>
    <n v="0"/>
    <n v="43"/>
    <n v="269"/>
    <n v="5"/>
    <n v="13"/>
    <n v="1"/>
    <n v="34"/>
    <n v="34"/>
    <n v="55"/>
    <n v="36"/>
    <n v="0"/>
    <x v="0"/>
    <n v="0"/>
    <n v="0"/>
    <n v="36"/>
    <n v="0"/>
    <n v="0"/>
    <n v="0"/>
    <n v="0"/>
    <n v="0"/>
    <n v="0"/>
    <n v="0"/>
    <n v="0"/>
    <n v="0"/>
    <n v="0"/>
    <n v="0"/>
    <n v="0"/>
    <n v="0"/>
    <n v="0"/>
    <n v="0"/>
    <n v="0"/>
    <n v="0"/>
    <n v="0"/>
    <n v="0"/>
    <n v="0"/>
    <n v="0"/>
    <n v="0"/>
    <n v="0"/>
    <n v="1"/>
    <n v="3"/>
    <n v="0"/>
    <n v="0"/>
  </r>
  <r>
    <x v="0"/>
    <s v="AAM-SC/SC"/>
    <x v="1"/>
    <s v="HEBRI-A"/>
    <x v="0"/>
    <x v="3"/>
    <n v="0"/>
    <n v="0"/>
    <n v="27"/>
    <n v="0"/>
    <n v="23"/>
    <n v="163"/>
    <n v="0"/>
    <n v="0"/>
    <n v="0"/>
    <n v="29"/>
    <n v="29"/>
    <n v="17"/>
    <n v="9"/>
    <n v="0"/>
    <x v="0"/>
    <n v="0"/>
    <n v="0"/>
    <n v="11"/>
    <n v="8"/>
    <n v="0"/>
    <n v="0"/>
    <n v="0"/>
    <n v="0"/>
    <n v="0"/>
    <n v="0"/>
    <n v="0"/>
    <n v="0"/>
    <n v="0"/>
    <n v="0"/>
    <n v="0"/>
    <n v="0"/>
    <n v="0"/>
    <n v="0"/>
    <n v="1"/>
    <n v="0"/>
    <n v="0"/>
    <n v="0"/>
    <n v="0"/>
    <n v="0"/>
    <n v="0"/>
    <n v="0"/>
    <n v="1"/>
    <n v="0"/>
    <n v="0"/>
    <n v="0"/>
  </r>
  <r>
    <x v="0"/>
    <s v="AAM-SC/SC"/>
    <x v="1"/>
    <s v="HEBRI-B"/>
    <x v="0"/>
    <x v="4"/>
    <n v="0"/>
    <n v="0"/>
    <n v="23"/>
    <n v="0"/>
    <n v="18"/>
    <n v="134"/>
    <n v="0"/>
    <n v="0"/>
    <n v="0"/>
    <n v="13"/>
    <n v="13"/>
    <n v="25"/>
    <n v="17"/>
    <n v="0"/>
    <x v="0"/>
    <n v="0"/>
    <n v="0"/>
    <n v="17"/>
    <n v="0"/>
    <n v="0"/>
    <n v="0"/>
    <n v="0"/>
    <n v="0"/>
    <n v="0"/>
    <n v="0"/>
    <n v="0"/>
    <n v="0"/>
    <n v="0"/>
    <n v="0"/>
    <n v="0"/>
    <n v="0"/>
    <n v="0"/>
    <n v="0"/>
    <n v="0"/>
    <n v="0"/>
    <n v="0"/>
    <n v="0"/>
    <n v="0"/>
    <n v="0"/>
    <n v="0"/>
    <n v="0"/>
    <n v="1"/>
    <n v="1"/>
    <n v="0"/>
    <n v="0"/>
  </r>
  <r>
    <x v="0"/>
    <s v="AAM-SC/SC"/>
    <x v="1"/>
    <s v="KABBINALE"/>
    <x v="0"/>
    <x v="5"/>
    <n v="0"/>
    <n v="0"/>
    <n v="12"/>
    <n v="0"/>
    <n v="11"/>
    <n v="67"/>
    <n v="1"/>
    <n v="3"/>
    <n v="0"/>
    <n v="11"/>
    <n v="11"/>
    <n v="8"/>
    <n v="9"/>
    <n v="0"/>
    <x v="0"/>
    <n v="0"/>
    <n v="0"/>
    <n v="9"/>
    <n v="0"/>
    <n v="0"/>
    <n v="0"/>
    <n v="0"/>
    <n v="0"/>
    <n v="0"/>
    <n v="0"/>
    <n v="0"/>
    <n v="0"/>
    <n v="0"/>
    <n v="0"/>
    <n v="0"/>
    <n v="0"/>
    <n v="0"/>
    <n v="0"/>
    <n v="0"/>
    <n v="0"/>
    <n v="0"/>
    <n v="0"/>
    <n v="0"/>
    <n v="0"/>
    <n v="0"/>
    <n v="0"/>
    <n v="0"/>
    <n v="1"/>
    <n v="0"/>
    <n v="0"/>
  </r>
  <r>
    <x v="0"/>
    <s v="AAM-SC/SC"/>
    <x v="1"/>
    <s v="Kuchoor"/>
    <x v="0"/>
    <x v="6"/>
    <n v="0"/>
    <n v="0"/>
    <n v="20"/>
    <n v="0"/>
    <n v="16"/>
    <n v="128"/>
    <n v="3"/>
    <n v="2"/>
    <n v="0"/>
    <n v="15"/>
    <n v="15"/>
    <n v="14"/>
    <n v="15"/>
    <n v="0"/>
    <x v="0"/>
    <n v="0"/>
    <n v="0"/>
    <n v="15"/>
    <n v="0"/>
    <n v="0"/>
    <n v="0"/>
    <n v="0"/>
    <n v="0"/>
    <n v="0"/>
    <n v="0"/>
    <n v="0"/>
    <n v="0"/>
    <n v="0"/>
    <n v="0"/>
    <n v="0"/>
    <n v="0"/>
    <n v="0"/>
    <n v="0"/>
    <n v="0"/>
    <n v="0"/>
    <n v="0"/>
    <n v="0"/>
    <n v="0"/>
    <n v="0"/>
    <n v="0"/>
    <n v="0"/>
    <n v="0"/>
    <n v="1"/>
    <n v="0"/>
    <n v="0"/>
  </r>
  <r>
    <x v="0"/>
    <s v="AAM-SC/SC"/>
    <x v="1"/>
    <s v="MUDRADI-A"/>
    <x v="0"/>
    <x v="7"/>
    <n v="0"/>
    <n v="0"/>
    <n v="35"/>
    <n v="0"/>
    <n v="31"/>
    <n v="223"/>
    <n v="6"/>
    <n v="8"/>
    <n v="0"/>
    <n v="25"/>
    <n v="25"/>
    <n v="28"/>
    <n v="19"/>
    <n v="0"/>
    <x v="0"/>
    <n v="0"/>
    <n v="0"/>
    <n v="17"/>
    <n v="1"/>
    <n v="0"/>
    <n v="0"/>
    <n v="0"/>
    <n v="0"/>
    <n v="0"/>
    <n v="0"/>
    <n v="0"/>
    <n v="0"/>
    <n v="0"/>
    <n v="0"/>
    <n v="0"/>
    <n v="0"/>
    <n v="0"/>
    <n v="0"/>
    <n v="0"/>
    <n v="0"/>
    <n v="0"/>
    <n v="0"/>
    <n v="0"/>
    <n v="0"/>
    <n v="0"/>
    <n v="0"/>
    <n v="0"/>
    <n v="1"/>
    <n v="0"/>
    <n v="0"/>
  </r>
  <r>
    <x v="0"/>
    <s v="AAM-SC/SC"/>
    <x v="1"/>
    <s v="MUDRADI-B"/>
    <x v="0"/>
    <x v="8"/>
    <n v="0"/>
    <n v="0"/>
    <n v="13"/>
    <n v="0"/>
    <n v="12"/>
    <n v="84"/>
    <n v="0"/>
    <n v="3"/>
    <n v="0"/>
    <n v="19"/>
    <n v="19"/>
    <n v="28"/>
    <n v="9"/>
    <n v="0"/>
    <x v="0"/>
    <n v="0"/>
    <n v="0"/>
    <n v="8"/>
    <n v="0"/>
    <n v="0"/>
    <n v="0"/>
    <n v="0"/>
    <n v="0"/>
    <n v="0"/>
    <n v="0"/>
    <n v="0"/>
    <n v="0"/>
    <n v="0"/>
    <n v="0"/>
    <n v="0"/>
    <n v="0"/>
    <n v="0"/>
    <n v="0"/>
    <n v="0"/>
    <n v="0"/>
    <n v="0"/>
    <n v="0"/>
    <n v="0"/>
    <n v="0"/>
    <n v="0"/>
    <n v="0"/>
    <n v="1"/>
    <n v="0"/>
    <n v="0"/>
    <n v="0"/>
  </r>
  <r>
    <x v="0"/>
    <s v="AAM-SC/SC"/>
    <x v="0"/>
    <s v="MUNIYALU"/>
    <x v="0"/>
    <x v="1"/>
    <n v="0"/>
    <n v="0"/>
    <n v="24"/>
    <n v="0"/>
    <n v="17"/>
    <n v="117"/>
    <n v="0"/>
    <n v="0"/>
    <n v="0"/>
    <n v="15"/>
    <n v="15"/>
    <n v="1"/>
    <n v="20"/>
    <n v="0"/>
    <x v="0"/>
    <n v="0"/>
    <n v="0"/>
    <n v="2"/>
    <n v="0"/>
    <n v="0"/>
    <n v="0"/>
    <n v="0"/>
    <n v="0"/>
    <n v="0"/>
    <n v="0"/>
    <n v="0"/>
    <n v="0"/>
    <n v="0"/>
    <n v="0"/>
    <n v="0"/>
    <n v="0"/>
    <n v="0"/>
    <n v="0"/>
    <n v="113"/>
    <n v="0"/>
    <n v="0"/>
    <n v="0"/>
    <n v="0"/>
    <n v="0"/>
    <n v="0"/>
    <n v="0"/>
    <n v="0"/>
    <n v="0"/>
    <n v="0"/>
    <n v="0"/>
  </r>
  <r>
    <x v="0"/>
    <s v="AAM-SC/SC"/>
    <x v="0"/>
    <s v="PADUKANDURU"/>
    <x v="0"/>
    <x v="9"/>
    <n v="0"/>
    <n v="0"/>
    <n v="11"/>
    <n v="0"/>
    <n v="10"/>
    <n v="66"/>
    <n v="0"/>
    <n v="0"/>
    <n v="0"/>
    <n v="10"/>
    <n v="8"/>
    <n v="3"/>
    <n v="12"/>
    <n v="0"/>
    <x v="0"/>
    <n v="0"/>
    <n v="0"/>
    <n v="4"/>
    <n v="0"/>
    <n v="0"/>
    <n v="0"/>
    <n v="0"/>
    <n v="0"/>
    <n v="0"/>
    <n v="0"/>
    <n v="0"/>
    <n v="0"/>
    <n v="0"/>
    <n v="0"/>
    <n v="0"/>
    <n v="0"/>
    <n v="0"/>
    <n v="0"/>
    <n v="66"/>
    <n v="0"/>
    <n v="0"/>
    <n v="0"/>
    <n v="0"/>
    <n v="0"/>
    <n v="0"/>
    <n v="0"/>
    <n v="0"/>
    <n v="0"/>
    <n v="0"/>
    <n v="0"/>
  </r>
  <r>
    <x v="0"/>
    <s v="AAM-SC/SC"/>
    <x v="1"/>
    <s v="Seethanadi"/>
    <x v="0"/>
    <x v="8"/>
    <n v="0"/>
    <n v="0"/>
    <n v="13"/>
    <n v="0"/>
    <n v="10"/>
    <n v="78"/>
    <n v="2"/>
    <n v="2"/>
    <n v="0"/>
    <n v="11"/>
    <n v="11"/>
    <n v="9"/>
    <n v="6"/>
    <n v="0"/>
    <x v="0"/>
    <n v="0"/>
    <n v="0"/>
    <n v="6"/>
    <n v="0"/>
    <n v="0"/>
    <n v="0"/>
    <n v="0"/>
    <n v="0"/>
    <n v="0"/>
    <n v="0"/>
    <n v="0"/>
    <n v="0"/>
    <n v="0"/>
    <n v="0"/>
    <n v="0"/>
    <n v="0"/>
    <n v="0"/>
    <n v="0"/>
    <n v="0"/>
    <n v="0"/>
    <n v="0"/>
    <n v="0"/>
    <n v="0"/>
    <n v="0"/>
    <n v="0"/>
    <n v="0"/>
    <n v="0"/>
    <n v="0"/>
    <n v="0"/>
    <n v="0"/>
  </r>
  <r>
    <x v="0"/>
    <s v="AAM-SC/SC"/>
    <x v="1"/>
    <s v="SHIVPUR-A"/>
    <x v="0"/>
    <x v="4"/>
    <n v="0"/>
    <n v="0"/>
    <n v="23"/>
    <n v="0"/>
    <n v="22"/>
    <n v="134"/>
    <n v="0"/>
    <n v="2"/>
    <n v="0"/>
    <n v="16"/>
    <n v="16"/>
    <n v="20"/>
    <n v="16"/>
    <n v="0"/>
    <x v="0"/>
    <n v="0"/>
    <n v="0"/>
    <n v="13"/>
    <n v="0"/>
    <n v="0"/>
    <n v="0"/>
    <n v="0"/>
    <n v="0"/>
    <n v="0"/>
    <n v="0"/>
    <n v="0"/>
    <n v="0"/>
    <n v="0"/>
    <n v="0"/>
    <n v="0"/>
    <n v="0"/>
    <n v="0"/>
    <n v="0"/>
    <n v="0"/>
    <n v="0"/>
    <n v="0"/>
    <n v="0"/>
    <n v="0"/>
    <n v="0"/>
    <n v="0"/>
    <n v="0"/>
    <n v="0"/>
    <n v="1"/>
    <n v="0"/>
    <n v="0"/>
  </r>
  <r>
    <x v="0"/>
    <s v="AAM-SC/SC"/>
    <x v="1"/>
    <s v="SHIVPUR-B"/>
    <x v="0"/>
    <x v="10"/>
    <n v="0"/>
    <n v="0"/>
    <n v="26"/>
    <n v="0"/>
    <n v="25"/>
    <n v="163"/>
    <n v="0"/>
    <n v="0"/>
    <n v="0"/>
    <n v="27"/>
    <n v="27"/>
    <n v="28"/>
    <n v="15"/>
    <n v="0"/>
    <x v="0"/>
    <n v="0"/>
    <n v="0"/>
    <n v="15"/>
    <n v="0"/>
    <n v="0"/>
    <n v="0"/>
    <n v="0"/>
    <n v="0"/>
    <n v="0"/>
    <n v="0"/>
    <n v="0"/>
    <n v="0"/>
    <n v="0"/>
    <n v="0"/>
    <n v="0"/>
    <n v="0"/>
    <n v="0"/>
    <n v="0"/>
    <n v="0"/>
    <n v="0"/>
    <n v="0"/>
    <n v="0"/>
    <n v="0"/>
    <n v="0"/>
    <n v="0"/>
    <n v="0"/>
    <n v="0"/>
    <n v="0"/>
    <n v="0"/>
    <n v="0"/>
  </r>
  <r>
    <x v="0"/>
    <s v="AAM-SC/SC"/>
    <x v="1"/>
    <s v="Someshwara"/>
    <x v="0"/>
    <x v="11"/>
    <n v="2"/>
    <n v="0"/>
    <n v="14"/>
    <n v="0"/>
    <n v="14"/>
    <n v="75"/>
    <n v="2"/>
    <n v="2"/>
    <n v="0"/>
    <n v="15"/>
    <n v="15"/>
    <n v="8"/>
    <n v="6"/>
    <n v="0"/>
    <x v="0"/>
    <n v="0"/>
    <n v="0"/>
    <n v="5"/>
    <n v="0"/>
    <n v="0"/>
    <n v="0"/>
    <n v="0"/>
    <n v="0"/>
    <n v="0"/>
    <n v="0"/>
    <n v="0"/>
    <n v="0"/>
    <n v="0"/>
    <n v="0"/>
    <n v="0"/>
    <n v="0"/>
    <n v="0"/>
    <n v="0"/>
    <n v="0"/>
    <n v="0"/>
    <n v="0"/>
    <n v="0"/>
    <n v="0"/>
    <n v="0"/>
    <n v="0"/>
    <n v="0"/>
    <n v="0"/>
    <n v="0"/>
    <n v="0"/>
    <n v="0"/>
  </r>
  <r>
    <x v="0"/>
    <s v="AAM-SC/SC"/>
    <x v="0"/>
    <s v="VARANGA"/>
    <x v="0"/>
    <x v="9"/>
    <n v="0"/>
    <n v="0"/>
    <n v="11"/>
    <n v="0"/>
    <n v="10"/>
    <n v="56"/>
    <n v="2"/>
    <n v="1"/>
    <n v="0"/>
    <n v="6"/>
    <n v="6"/>
    <n v="7"/>
    <n v="9"/>
    <n v="0"/>
    <x v="0"/>
    <n v="0"/>
    <n v="0"/>
    <n v="8"/>
    <n v="1"/>
    <n v="0"/>
    <n v="0"/>
    <n v="0"/>
    <n v="0"/>
    <n v="0"/>
    <n v="0"/>
    <n v="0"/>
    <n v="0"/>
    <n v="0"/>
    <n v="0"/>
    <n v="0"/>
    <n v="0"/>
    <n v="0"/>
    <n v="0"/>
    <n v="56"/>
    <n v="0"/>
    <n v="0"/>
    <n v="0"/>
    <n v="0"/>
    <n v="0"/>
    <n v="0"/>
    <n v="0"/>
    <n v="0"/>
    <n v="0"/>
    <n v="0"/>
    <n v="0"/>
  </r>
  <r>
    <x v="0"/>
    <s v="AAM-PHC/PHC"/>
    <x v="0"/>
    <s v="MUNIYAL"/>
    <x v="0"/>
    <x v="12"/>
    <n v="0"/>
    <n v="0"/>
    <n v="0"/>
    <n v="0"/>
    <n v="0"/>
    <n v="202"/>
    <n v="27"/>
    <n v="21"/>
    <n v="8"/>
    <n v="0"/>
    <n v="3"/>
    <n v="26"/>
    <n v="2"/>
    <n v="0"/>
    <x v="0"/>
    <n v="0"/>
    <n v="0"/>
    <n v="0"/>
    <n v="34"/>
    <n v="0"/>
    <n v="0"/>
    <n v="3"/>
    <n v="0"/>
    <n v="0"/>
    <n v="0"/>
    <n v="46"/>
    <n v="0"/>
    <n v="0"/>
    <n v="0"/>
    <n v="0"/>
    <n v="0"/>
    <n v="0"/>
    <n v="0"/>
    <n v="187"/>
    <n v="1"/>
    <n v="0"/>
    <n v="0"/>
    <n v="0"/>
    <n v="0"/>
    <n v="0"/>
    <n v="0"/>
    <n v="24"/>
    <n v="20"/>
    <n v="4"/>
    <n v="0"/>
  </r>
  <r>
    <x v="0"/>
    <s v="Community Health Centre"/>
    <x v="1"/>
    <s v="HEBRI"/>
    <x v="0"/>
    <x v="13"/>
    <n v="0"/>
    <n v="0"/>
    <n v="10"/>
    <n v="0"/>
    <n v="0"/>
    <n v="963"/>
    <n v="62"/>
    <n v="44"/>
    <n v="9"/>
    <n v="94"/>
    <n v="94"/>
    <n v="56"/>
    <n v="67"/>
    <n v="1"/>
    <x v="1"/>
    <n v="0"/>
    <n v="0"/>
    <n v="131"/>
    <n v="197"/>
    <n v="4"/>
    <n v="0"/>
    <n v="21"/>
    <n v="1"/>
    <n v="0"/>
    <n v="3"/>
    <n v="153"/>
    <n v="0"/>
    <n v="0"/>
    <n v="0"/>
    <n v="0"/>
    <n v="0"/>
    <n v="2"/>
    <n v="24"/>
    <n v="0"/>
    <n v="0"/>
    <n v="0"/>
    <n v="0"/>
    <n v="0"/>
    <n v="0"/>
    <n v="0"/>
    <n v="0"/>
    <n v="0"/>
    <n v="31"/>
    <n v="0"/>
    <n v="0"/>
  </r>
  <r>
    <x v="0"/>
    <s v="AAM-SC/SC"/>
    <x v="2"/>
    <s v="AJEKAR"/>
    <x v="0"/>
    <x v="14"/>
    <n v="0"/>
    <n v="0"/>
    <n v="45"/>
    <n v="0"/>
    <n v="44"/>
    <n v="184"/>
    <n v="0"/>
    <n v="0"/>
    <n v="0"/>
    <n v="11"/>
    <n v="14"/>
    <n v="13"/>
    <n v="14"/>
    <n v="0"/>
    <x v="0"/>
    <n v="0"/>
    <n v="0"/>
    <n v="0"/>
    <n v="0"/>
    <n v="0"/>
    <n v="0"/>
    <n v="0"/>
    <n v="0"/>
    <n v="0"/>
    <n v="0"/>
    <n v="0"/>
    <n v="0"/>
    <n v="0"/>
    <n v="0"/>
    <n v="0"/>
    <n v="0"/>
    <n v="0"/>
    <n v="0"/>
    <n v="0"/>
    <n v="0"/>
    <n v="0"/>
    <n v="0"/>
    <n v="0"/>
    <n v="0"/>
    <n v="0"/>
    <n v="0"/>
    <n v="0"/>
    <n v="0"/>
    <n v="0"/>
    <n v="0"/>
  </r>
  <r>
    <x v="0"/>
    <s v="AAM-SC/SC"/>
    <x v="3"/>
    <s v="BAILOOR"/>
    <x v="0"/>
    <x v="6"/>
    <n v="0"/>
    <n v="0"/>
    <n v="20"/>
    <n v="0"/>
    <n v="20"/>
    <n v="122"/>
    <n v="0"/>
    <n v="0"/>
    <n v="0"/>
    <n v="10"/>
    <n v="9"/>
    <n v="10"/>
    <n v="0"/>
    <n v="0"/>
    <x v="0"/>
    <n v="0"/>
    <n v="0"/>
    <n v="0"/>
    <n v="0"/>
    <n v="0"/>
    <n v="0"/>
    <n v="0"/>
    <n v="0"/>
    <n v="0"/>
    <n v="0"/>
    <n v="0"/>
    <n v="0"/>
    <n v="0"/>
    <n v="0"/>
    <n v="0"/>
    <n v="0"/>
    <n v="0"/>
    <n v="0"/>
    <n v="0"/>
    <n v="0"/>
    <n v="0"/>
    <n v="0"/>
    <n v="0"/>
    <n v="0"/>
    <n v="0"/>
    <n v="0"/>
    <n v="8"/>
    <n v="0"/>
    <n v="0"/>
    <n v="0"/>
  </r>
  <r>
    <x v="0"/>
    <s v="AAM-SC/SC"/>
    <x v="4"/>
    <s v="BELMAN-A"/>
    <x v="0"/>
    <x v="10"/>
    <n v="0"/>
    <n v="0"/>
    <n v="26"/>
    <n v="0"/>
    <n v="26"/>
    <n v="156"/>
    <n v="0"/>
    <n v="0"/>
    <n v="0"/>
    <n v="22"/>
    <n v="22"/>
    <n v="16"/>
    <n v="0"/>
    <n v="0"/>
    <x v="0"/>
    <n v="0"/>
    <n v="0"/>
    <n v="0"/>
    <n v="0"/>
    <n v="0"/>
    <n v="0"/>
    <n v="0"/>
    <n v="0"/>
    <n v="0"/>
    <n v="0"/>
    <n v="0"/>
    <n v="0"/>
    <n v="0"/>
    <n v="0"/>
    <n v="0"/>
    <n v="0"/>
    <n v="0"/>
    <n v="0"/>
    <n v="0"/>
    <n v="0"/>
    <n v="0"/>
    <n v="0"/>
    <n v="0"/>
    <n v="0"/>
    <n v="0"/>
    <n v="0"/>
    <n v="0"/>
    <n v="0"/>
    <n v="0"/>
    <n v="0"/>
  </r>
  <r>
    <x v="0"/>
    <s v="AAM-SC/SC"/>
    <x v="4"/>
    <s v="BELMAN-B"/>
    <x v="0"/>
    <x v="15"/>
    <n v="0"/>
    <n v="0"/>
    <n v="30"/>
    <n v="0"/>
    <n v="24"/>
    <n v="163"/>
    <n v="0"/>
    <n v="0"/>
    <n v="0"/>
    <n v="28"/>
    <n v="25"/>
    <n v="11"/>
    <n v="0"/>
    <n v="0"/>
    <x v="0"/>
    <n v="0"/>
    <n v="0"/>
    <n v="0"/>
    <n v="0"/>
    <n v="0"/>
    <n v="0"/>
    <n v="0"/>
    <n v="0"/>
    <n v="0"/>
    <n v="0"/>
    <n v="0"/>
    <n v="0"/>
    <n v="0"/>
    <n v="0"/>
    <n v="0"/>
    <n v="0"/>
    <n v="0"/>
    <n v="0"/>
    <n v="0"/>
    <n v="0"/>
    <n v="0"/>
    <n v="0"/>
    <n v="0"/>
    <n v="0"/>
    <n v="0"/>
    <n v="0"/>
    <n v="0"/>
    <n v="0"/>
    <n v="0"/>
    <n v="0"/>
  </r>
  <r>
    <x v="0"/>
    <s v="AAM-SC/SC"/>
    <x v="5"/>
    <s v="BOLA-A"/>
    <x v="0"/>
    <x v="16"/>
    <n v="0"/>
    <n v="0"/>
    <n v="22"/>
    <n v="0"/>
    <n v="22"/>
    <n v="48"/>
    <n v="0"/>
    <n v="0"/>
    <n v="0"/>
    <n v="11"/>
    <n v="5"/>
    <n v="21"/>
    <n v="0"/>
    <n v="0"/>
    <x v="0"/>
    <n v="0"/>
    <n v="0"/>
    <n v="0"/>
    <n v="0"/>
    <n v="0"/>
    <n v="0"/>
    <n v="0"/>
    <n v="0"/>
    <n v="0"/>
    <n v="0"/>
    <n v="0"/>
    <n v="0"/>
    <n v="0"/>
    <n v="0"/>
    <n v="0"/>
    <n v="0"/>
    <n v="0"/>
    <n v="0"/>
    <n v="20"/>
    <n v="0"/>
    <n v="0"/>
    <n v="0"/>
    <n v="0"/>
    <n v="0"/>
    <n v="0"/>
    <n v="0"/>
    <n v="4"/>
    <n v="0"/>
    <n v="0"/>
    <n v="0"/>
  </r>
  <r>
    <x v="0"/>
    <s v="AAM-SC/SC"/>
    <x v="5"/>
    <s v="BOLA-B"/>
    <x v="0"/>
    <x v="0"/>
    <n v="0"/>
    <n v="0"/>
    <n v="21"/>
    <n v="0"/>
    <n v="19"/>
    <n v="70"/>
    <n v="0"/>
    <n v="1"/>
    <n v="1"/>
    <n v="20"/>
    <n v="20"/>
    <n v="18"/>
    <n v="0"/>
    <n v="0"/>
    <x v="0"/>
    <n v="0"/>
    <n v="0"/>
    <n v="0"/>
    <n v="0"/>
    <n v="0"/>
    <n v="0"/>
    <n v="0"/>
    <n v="0"/>
    <n v="0"/>
    <n v="0"/>
    <n v="0"/>
    <n v="0"/>
    <n v="0"/>
    <n v="0"/>
    <n v="0"/>
    <n v="0"/>
    <n v="0"/>
    <n v="0"/>
    <n v="0"/>
    <n v="0"/>
    <n v="0"/>
    <n v="0"/>
    <n v="0"/>
    <n v="0"/>
    <n v="0"/>
    <n v="0"/>
    <n v="0"/>
    <n v="0"/>
    <n v="0"/>
    <n v="0"/>
  </r>
  <r>
    <x v="0"/>
    <s v="AAM-SC/SC"/>
    <x v="6"/>
    <s v="DHURGA"/>
    <x v="0"/>
    <x v="17"/>
    <n v="2"/>
    <n v="0"/>
    <n v="31"/>
    <n v="0"/>
    <n v="27"/>
    <n v="134"/>
    <n v="3"/>
    <n v="2"/>
    <n v="0"/>
    <n v="24"/>
    <n v="24"/>
    <n v="18"/>
    <n v="23"/>
    <n v="0"/>
    <x v="0"/>
    <n v="0"/>
    <n v="0"/>
    <n v="6"/>
    <n v="0"/>
    <n v="0"/>
    <n v="0"/>
    <n v="0"/>
    <n v="0"/>
    <n v="0"/>
    <n v="0"/>
    <n v="13"/>
    <n v="0"/>
    <n v="0"/>
    <n v="0"/>
    <n v="0"/>
    <n v="0"/>
    <n v="0"/>
    <n v="0"/>
    <n v="0"/>
    <n v="0"/>
    <n v="0"/>
    <n v="0"/>
    <n v="0"/>
    <n v="0"/>
    <n v="0"/>
    <n v="0"/>
    <n v="0"/>
    <n v="0"/>
    <n v="0"/>
    <n v="0"/>
  </r>
  <r>
    <x v="0"/>
    <s v="AAM-SC/SC"/>
    <x v="2"/>
    <s v="HERMUNDE"/>
    <x v="0"/>
    <x v="5"/>
    <n v="0"/>
    <n v="0"/>
    <n v="12"/>
    <n v="0"/>
    <n v="12"/>
    <n v="33"/>
    <n v="1"/>
    <n v="2"/>
    <n v="0"/>
    <n v="0"/>
    <n v="0"/>
    <n v="0"/>
    <n v="0"/>
    <n v="0"/>
    <x v="0"/>
    <n v="0"/>
    <n v="0"/>
    <n v="0"/>
    <n v="0"/>
    <n v="0"/>
    <n v="0"/>
    <n v="0"/>
    <n v="0"/>
    <n v="0"/>
    <n v="0"/>
    <n v="0"/>
    <n v="0"/>
    <n v="0"/>
    <n v="0"/>
    <n v="0"/>
    <n v="0"/>
    <n v="0"/>
    <n v="0"/>
    <n v="0"/>
    <n v="0"/>
    <n v="0"/>
    <n v="0"/>
    <n v="0"/>
    <n v="0"/>
    <n v="0"/>
    <n v="0"/>
    <n v="0"/>
    <n v="0"/>
    <n v="0"/>
    <n v="0"/>
  </r>
  <r>
    <x v="0"/>
    <s v="AAM-SC/SC"/>
    <x v="7"/>
    <s v="HIRGANA-A"/>
    <x v="0"/>
    <x v="18"/>
    <n v="0"/>
    <n v="0"/>
    <n v="25"/>
    <n v="0"/>
    <n v="22"/>
    <n v="175"/>
    <n v="0"/>
    <n v="1"/>
    <n v="0"/>
    <n v="25"/>
    <n v="24"/>
    <n v="5"/>
    <n v="22"/>
    <n v="0"/>
    <x v="0"/>
    <n v="0"/>
    <n v="0"/>
    <n v="0"/>
    <n v="0"/>
    <n v="0"/>
    <n v="0"/>
    <n v="0"/>
    <n v="0"/>
    <n v="0"/>
    <n v="0"/>
    <n v="0"/>
    <n v="0"/>
    <n v="0"/>
    <n v="0"/>
    <n v="0"/>
    <n v="0"/>
    <n v="0"/>
    <n v="0"/>
    <n v="0"/>
    <n v="0"/>
    <n v="0"/>
    <n v="0"/>
    <n v="0"/>
    <n v="0"/>
    <n v="0"/>
    <n v="0"/>
    <n v="0"/>
    <n v="0"/>
    <n v="0"/>
    <n v="0"/>
  </r>
  <r>
    <x v="0"/>
    <s v="AAM-SC/SC"/>
    <x v="7"/>
    <s v="HIRGANA-B"/>
    <x v="0"/>
    <x v="11"/>
    <n v="0"/>
    <n v="0"/>
    <n v="16"/>
    <n v="0"/>
    <n v="14"/>
    <n v="94"/>
    <n v="0"/>
    <n v="0"/>
    <n v="0"/>
    <n v="17"/>
    <n v="17"/>
    <n v="5"/>
    <n v="6"/>
    <n v="0"/>
    <x v="0"/>
    <n v="0"/>
    <n v="0"/>
    <n v="0"/>
    <n v="0"/>
    <n v="0"/>
    <n v="0"/>
    <n v="0"/>
    <n v="0"/>
    <n v="0"/>
    <n v="0"/>
    <n v="0"/>
    <n v="0"/>
    <n v="0"/>
    <n v="0"/>
    <n v="0"/>
    <n v="0"/>
    <n v="0"/>
    <n v="0"/>
    <n v="0"/>
    <n v="0"/>
    <n v="0"/>
    <n v="0"/>
    <n v="0"/>
    <n v="0"/>
    <n v="0"/>
    <n v="0"/>
    <n v="0"/>
    <n v="0"/>
    <n v="0"/>
    <n v="0"/>
  </r>
  <r>
    <x v="0"/>
    <s v="AAM-SC/SC"/>
    <x v="8"/>
    <s v="IDU A"/>
    <x v="0"/>
    <x v="19"/>
    <n v="0"/>
    <n v="0"/>
    <n v="19"/>
    <n v="0"/>
    <n v="19"/>
    <n v="120"/>
    <n v="0"/>
    <n v="0"/>
    <n v="0"/>
    <n v="17"/>
    <n v="2"/>
    <n v="0"/>
    <n v="0"/>
    <n v="0"/>
    <x v="0"/>
    <n v="0"/>
    <n v="0"/>
    <n v="17"/>
    <n v="0"/>
    <n v="0"/>
    <n v="0"/>
    <n v="0"/>
    <n v="0"/>
    <n v="0"/>
    <n v="0"/>
    <n v="0"/>
    <n v="0"/>
    <n v="0"/>
    <n v="0"/>
    <n v="0"/>
    <n v="0"/>
    <n v="0"/>
    <n v="0"/>
    <n v="0"/>
    <n v="0"/>
    <n v="0"/>
    <n v="0"/>
    <n v="0"/>
    <n v="0"/>
    <n v="0"/>
    <n v="0"/>
    <n v="9"/>
    <n v="0"/>
    <n v="0"/>
    <n v="0"/>
  </r>
  <r>
    <x v="0"/>
    <s v="AAM-SC/SC"/>
    <x v="8"/>
    <s v="Idu B"/>
    <x v="0"/>
    <x v="20"/>
    <n v="0"/>
    <n v="0"/>
    <n v="18"/>
    <n v="0"/>
    <n v="14"/>
    <n v="102"/>
    <n v="4"/>
    <n v="2"/>
    <n v="1"/>
    <n v="16"/>
    <n v="2"/>
    <n v="0"/>
    <n v="0"/>
    <n v="0"/>
    <x v="0"/>
    <n v="0"/>
    <n v="0"/>
    <n v="5"/>
    <n v="0"/>
    <n v="0"/>
    <n v="0"/>
    <n v="0"/>
    <n v="0"/>
    <n v="0"/>
    <n v="0"/>
    <n v="0"/>
    <n v="0"/>
    <n v="0"/>
    <n v="0"/>
    <n v="0"/>
    <n v="0"/>
    <n v="0"/>
    <n v="0"/>
    <n v="0"/>
    <n v="0"/>
    <n v="0"/>
    <n v="0"/>
    <n v="0"/>
    <n v="0"/>
    <n v="0"/>
    <n v="0"/>
    <n v="7"/>
    <n v="0"/>
    <n v="0"/>
    <n v="0"/>
  </r>
  <r>
    <x v="0"/>
    <s v="AAM-SC/SC"/>
    <x v="9"/>
    <s v="INNA-A"/>
    <x v="0"/>
    <x v="13"/>
    <n v="0"/>
    <n v="0"/>
    <n v="10"/>
    <n v="0"/>
    <n v="5"/>
    <n v="38"/>
    <n v="0"/>
    <n v="0"/>
    <n v="0"/>
    <n v="9"/>
    <n v="9"/>
    <n v="0"/>
    <n v="4"/>
    <n v="0"/>
    <x v="0"/>
    <n v="0"/>
    <n v="0"/>
    <n v="0"/>
    <n v="1"/>
    <n v="0"/>
    <n v="0"/>
    <n v="0"/>
    <n v="0"/>
    <n v="0"/>
    <n v="0"/>
    <n v="0"/>
    <n v="0"/>
    <n v="0"/>
    <n v="0"/>
    <n v="0"/>
    <n v="0"/>
    <n v="0"/>
    <n v="0"/>
    <n v="0"/>
    <n v="0"/>
    <n v="0"/>
    <n v="0"/>
    <n v="0"/>
    <n v="0"/>
    <n v="0"/>
    <n v="0"/>
    <n v="0"/>
    <n v="0"/>
    <n v="0"/>
    <n v="0"/>
  </r>
  <r>
    <x v="0"/>
    <s v="AAM-SC/SC"/>
    <x v="9"/>
    <s v="INNA-B"/>
    <x v="0"/>
    <x v="0"/>
    <n v="0"/>
    <n v="0"/>
    <n v="21"/>
    <n v="0"/>
    <n v="11"/>
    <n v="84"/>
    <n v="0"/>
    <n v="0"/>
    <n v="0"/>
    <n v="10"/>
    <n v="10"/>
    <n v="0"/>
    <n v="5"/>
    <n v="0"/>
    <x v="0"/>
    <n v="0"/>
    <n v="0"/>
    <n v="0"/>
    <n v="0"/>
    <n v="0"/>
    <n v="0"/>
    <n v="0"/>
    <n v="0"/>
    <n v="0"/>
    <n v="0"/>
    <n v="0"/>
    <n v="0"/>
    <n v="0"/>
    <n v="0"/>
    <n v="0"/>
    <n v="0"/>
    <n v="0"/>
    <n v="0"/>
    <n v="0"/>
    <n v="0"/>
    <n v="0"/>
    <n v="0"/>
    <n v="0"/>
    <n v="0"/>
    <n v="0"/>
    <n v="0"/>
    <n v="0"/>
    <n v="0"/>
    <n v="0"/>
    <n v="0"/>
  </r>
  <r>
    <x v="0"/>
    <s v="AAM-SC/SC"/>
    <x v="10"/>
    <s v="IRVATHOOR-A"/>
    <x v="0"/>
    <x v="21"/>
    <n v="0"/>
    <n v="0"/>
    <n v="6"/>
    <n v="0"/>
    <n v="6"/>
    <n v="188"/>
    <n v="3"/>
    <n v="1"/>
    <n v="2"/>
    <n v="8"/>
    <n v="8"/>
    <n v="9"/>
    <n v="0"/>
    <n v="0"/>
    <x v="0"/>
    <n v="0"/>
    <n v="0"/>
    <n v="0"/>
    <n v="0"/>
    <n v="0"/>
    <n v="0"/>
    <n v="0"/>
    <n v="0"/>
    <n v="0"/>
    <n v="0"/>
    <n v="0"/>
    <n v="0"/>
    <n v="0"/>
    <n v="0"/>
    <n v="0"/>
    <n v="0"/>
    <n v="0"/>
    <n v="0"/>
    <n v="0"/>
    <n v="0"/>
    <n v="0"/>
    <n v="0"/>
    <n v="0"/>
    <n v="0"/>
    <n v="0"/>
    <n v="0"/>
    <n v="3"/>
    <n v="0"/>
    <n v="0"/>
    <n v="0"/>
  </r>
  <r>
    <x v="0"/>
    <s v="AAM-SC/SC"/>
    <x v="10"/>
    <s v="IRVATHOOR-B"/>
    <x v="0"/>
    <x v="22"/>
    <n v="0"/>
    <n v="0"/>
    <n v="15"/>
    <n v="0"/>
    <n v="13"/>
    <n v="111"/>
    <n v="4"/>
    <n v="5"/>
    <n v="4"/>
    <n v="11"/>
    <n v="9"/>
    <n v="11"/>
    <n v="1"/>
    <n v="0"/>
    <x v="0"/>
    <n v="0"/>
    <n v="0"/>
    <n v="0"/>
    <n v="0"/>
    <n v="0"/>
    <n v="0"/>
    <n v="0"/>
    <n v="0"/>
    <n v="0"/>
    <n v="0"/>
    <n v="0"/>
    <n v="0"/>
    <n v="0"/>
    <n v="0"/>
    <n v="0"/>
    <n v="0"/>
    <n v="0"/>
    <n v="0"/>
    <n v="0"/>
    <n v="0"/>
    <n v="0"/>
    <n v="0"/>
    <n v="0"/>
    <n v="0"/>
    <n v="0"/>
    <n v="0"/>
    <n v="5"/>
    <n v="0"/>
    <n v="0"/>
    <n v="0"/>
  </r>
  <r>
    <x v="0"/>
    <s v="AAM-SC/SC"/>
    <x v="11"/>
    <s v="KADTHALA"/>
    <x v="0"/>
    <x v="10"/>
    <n v="3"/>
    <n v="0"/>
    <n v="22"/>
    <n v="0"/>
    <n v="22"/>
    <n v="101"/>
    <n v="1"/>
    <n v="0"/>
    <n v="0"/>
    <n v="10"/>
    <n v="10"/>
    <n v="2"/>
    <n v="0"/>
    <n v="0"/>
    <x v="0"/>
    <n v="0"/>
    <n v="0"/>
    <n v="0"/>
    <n v="0"/>
    <n v="0"/>
    <n v="0"/>
    <n v="0"/>
    <n v="0"/>
    <n v="0"/>
    <n v="0"/>
    <n v="0"/>
    <n v="0"/>
    <n v="0"/>
    <n v="0"/>
    <n v="0"/>
    <n v="0"/>
    <n v="0"/>
    <n v="0"/>
    <n v="0"/>
    <n v="0"/>
    <n v="0"/>
    <n v="0"/>
    <n v="0"/>
    <n v="0"/>
    <n v="0"/>
    <n v="0"/>
    <n v="0"/>
    <n v="0"/>
    <n v="0"/>
    <n v="0"/>
  </r>
  <r>
    <x v="0"/>
    <s v="AAM-SC/SC"/>
    <x v="12"/>
    <s v="KALYA"/>
    <x v="0"/>
    <x v="10"/>
    <n v="0"/>
    <n v="0"/>
    <n v="26"/>
    <n v="0"/>
    <n v="26"/>
    <n v="135"/>
    <n v="0"/>
    <n v="0"/>
    <n v="0"/>
    <n v="13"/>
    <n v="13"/>
    <n v="20"/>
    <n v="0"/>
    <n v="0"/>
    <x v="0"/>
    <n v="0"/>
    <n v="0"/>
    <n v="0"/>
    <n v="0"/>
    <n v="0"/>
    <n v="0"/>
    <n v="0"/>
    <n v="0"/>
    <n v="0"/>
    <n v="0"/>
    <n v="0"/>
    <n v="0"/>
    <n v="0"/>
    <n v="0"/>
    <n v="0"/>
    <n v="0"/>
    <n v="0"/>
    <n v="0"/>
    <n v="0"/>
    <n v="0"/>
    <n v="0"/>
    <n v="0"/>
    <n v="0"/>
    <n v="0"/>
    <n v="0"/>
    <n v="0"/>
    <n v="0"/>
    <n v="0"/>
    <n v="0"/>
    <n v="0"/>
  </r>
  <r>
    <x v="0"/>
    <s v="AAM-SC/SC"/>
    <x v="3"/>
    <s v="KANANJAR"/>
    <x v="0"/>
    <x v="16"/>
    <n v="0"/>
    <n v="0"/>
    <n v="22"/>
    <n v="0"/>
    <n v="22"/>
    <n v="120"/>
    <n v="0"/>
    <n v="1"/>
    <n v="0"/>
    <n v="17"/>
    <n v="17"/>
    <n v="11"/>
    <n v="4"/>
    <n v="0"/>
    <x v="0"/>
    <n v="0"/>
    <n v="0"/>
    <n v="0"/>
    <n v="0"/>
    <n v="0"/>
    <n v="0"/>
    <n v="0"/>
    <n v="0"/>
    <n v="0"/>
    <n v="0"/>
    <n v="0"/>
    <n v="0"/>
    <n v="0"/>
    <n v="0"/>
    <n v="0"/>
    <n v="0"/>
    <n v="0"/>
    <n v="0"/>
    <n v="0"/>
    <n v="0"/>
    <n v="0"/>
    <n v="0"/>
    <n v="0"/>
    <n v="0"/>
    <n v="0"/>
    <n v="0"/>
    <n v="4"/>
    <n v="0"/>
    <n v="0"/>
    <n v="0"/>
  </r>
  <r>
    <x v="0"/>
    <s v="AAM-SC/SC"/>
    <x v="5"/>
    <s v="KANTHAVARA"/>
    <x v="0"/>
    <x v="10"/>
    <n v="0"/>
    <n v="0"/>
    <n v="26"/>
    <n v="0"/>
    <n v="25"/>
    <n v="58"/>
    <n v="0"/>
    <n v="2"/>
    <n v="0"/>
    <n v="15"/>
    <n v="13"/>
    <n v="26"/>
    <n v="0"/>
    <n v="0"/>
    <x v="0"/>
    <n v="0"/>
    <n v="0"/>
    <n v="0"/>
    <n v="0"/>
    <n v="0"/>
    <n v="0"/>
    <n v="0"/>
    <n v="0"/>
    <n v="0"/>
    <n v="0"/>
    <n v="0"/>
    <n v="0"/>
    <n v="0"/>
    <n v="0"/>
    <n v="0"/>
    <n v="0"/>
    <n v="0"/>
    <n v="0"/>
    <n v="26"/>
    <n v="0"/>
    <n v="0"/>
    <n v="0"/>
    <n v="0"/>
    <n v="0"/>
    <n v="0"/>
    <n v="0"/>
    <n v="3"/>
    <n v="0"/>
    <n v="0"/>
    <n v="0"/>
  </r>
  <r>
    <x v="0"/>
    <s v="AAM-SC/SC"/>
    <x v="5"/>
    <s v="KEDINJE"/>
    <x v="0"/>
    <x v="9"/>
    <n v="0"/>
    <n v="0"/>
    <n v="11"/>
    <n v="0"/>
    <n v="8"/>
    <n v="42"/>
    <n v="2"/>
    <n v="3"/>
    <n v="0"/>
    <n v="7"/>
    <n v="7"/>
    <n v="9"/>
    <n v="0"/>
    <n v="0"/>
    <x v="0"/>
    <n v="0"/>
    <n v="0"/>
    <n v="0"/>
    <n v="0"/>
    <n v="0"/>
    <n v="0"/>
    <n v="0"/>
    <n v="0"/>
    <n v="0"/>
    <n v="0"/>
    <n v="0"/>
    <n v="0"/>
    <n v="0"/>
    <n v="0"/>
    <n v="0"/>
    <n v="0"/>
    <n v="0"/>
    <n v="0"/>
    <n v="0"/>
    <n v="0"/>
    <n v="0"/>
    <n v="0"/>
    <n v="0"/>
    <n v="0"/>
    <n v="0"/>
    <n v="0"/>
    <n v="0"/>
    <n v="0"/>
    <n v="0"/>
    <n v="0"/>
  </r>
  <r>
    <x v="0"/>
    <s v="AAM-SC/SC"/>
    <x v="13"/>
    <s v="Kervashe"/>
    <x v="0"/>
    <x v="4"/>
    <n v="0"/>
    <n v="0"/>
    <n v="23"/>
    <n v="0"/>
    <n v="21"/>
    <n v="62"/>
    <n v="1"/>
    <n v="2"/>
    <n v="1"/>
    <n v="0"/>
    <n v="0"/>
    <n v="0"/>
    <n v="0"/>
    <n v="0"/>
    <x v="0"/>
    <n v="0"/>
    <n v="0"/>
    <n v="0"/>
    <n v="0"/>
    <n v="0"/>
    <n v="0"/>
    <n v="0"/>
    <n v="0"/>
    <n v="0"/>
    <n v="0"/>
    <n v="0"/>
    <n v="0"/>
    <n v="0"/>
    <n v="0"/>
    <n v="0"/>
    <n v="0"/>
    <n v="0"/>
    <n v="0"/>
    <n v="0"/>
    <n v="0"/>
    <n v="0"/>
    <n v="0"/>
    <n v="0"/>
    <n v="0"/>
    <n v="0"/>
    <n v="0"/>
    <n v="0"/>
    <n v="0"/>
    <n v="0"/>
    <n v="0"/>
  </r>
  <r>
    <x v="0"/>
    <s v="AAM-SC/SC"/>
    <x v="3"/>
    <s v="KOWDOOR"/>
    <x v="0"/>
    <x v="23"/>
    <n v="0"/>
    <n v="0"/>
    <n v="41"/>
    <n v="0"/>
    <n v="41"/>
    <n v="233"/>
    <n v="1"/>
    <n v="4"/>
    <n v="0"/>
    <n v="32"/>
    <n v="21"/>
    <n v="29"/>
    <n v="0"/>
    <n v="0"/>
    <x v="0"/>
    <n v="0"/>
    <n v="0"/>
    <n v="0"/>
    <n v="0"/>
    <n v="0"/>
    <n v="0"/>
    <n v="0"/>
    <n v="0"/>
    <n v="0"/>
    <n v="0"/>
    <n v="0"/>
    <n v="0"/>
    <n v="0"/>
    <n v="0"/>
    <n v="0"/>
    <n v="0"/>
    <n v="0"/>
    <n v="0"/>
    <n v="0"/>
    <n v="0"/>
    <n v="0"/>
    <n v="0"/>
    <n v="0"/>
    <n v="0"/>
    <n v="0"/>
    <n v="0"/>
    <n v="20"/>
    <n v="0"/>
    <n v="0"/>
    <n v="0"/>
  </r>
  <r>
    <x v="0"/>
    <s v="AAM-SC/SC"/>
    <x v="11"/>
    <s v="KUKKUJE"/>
    <x v="0"/>
    <x v="9"/>
    <n v="0"/>
    <n v="0"/>
    <n v="11"/>
    <n v="0"/>
    <n v="10"/>
    <n v="59"/>
    <n v="0"/>
    <n v="0"/>
    <n v="0"/>
    <n v="17"/>
    <n v="17"/>
    <n v="5"/>
    <n v="0"/>
    <n v="0"/>
    <x v="0"/>
    <n v="0"/>
    <n v="0"/>
    <n v="0"/>
    <n v="0"/>
    <n v="0"/>
    <n v="0"/>
    <n v="0"/>
    <n v="0"/>
    <n v="0"/>
    <n v="0"/>
    <n v="0"/>
    <n v="0"/>
    <n v="0"/>
    <n v="0"/>
    <n v="0"/>
    <n v="0"/>
    <n v="0"/>
    <n v="0"/>
    <n v="0"/>
    <n v="0"/>
    <n v="0"/>
    <n v="0"/>
    <n v="0"/>
    <n v="0"/>
    <n v="0"/>
    <n v="0"/>
    <n v="0"/>
    <n v="0"/>
    <n v="0"/>
    <n v="0"/>
  </r>
  <r>
    <x v="0"/>
    <s v="AAM-SC/SC"/>
    <x v="14"/>
    <s v="KUKKUNDOOR -A"/>
    <x v="0"/>
    <x v="24"/>
    <n v="0"/>
    <n v="0"/>
    <n v="39"/>
    <n v="0"/>
    <n v="39"/>
    <n v="242"/>
    <n v="7"/>
    <n v="5"/>
    <n v="5"/>
    <n v="42"/>
    <n v="23"/>
    <n v="39"/>
    <n v="1"/>
    <n v="0"/>
    <x v="0"/>
    <n v="0"/>
    <n v="0"/>
    <n v="0"/>
    <n v="0"/>
    <n v="0"/>
    <n v="0"/>
    <n v="0"/>
    <n v="0"/>
    <n v="0"/>
    <n v="0"/>
    <n v="0"/>
    <n v="0"/>
    <n v="0"/>
    <n v="0"/>
    <n v="0"/>
    <n v="0"/>
    <n v="0"/>
    <n v="0"/>
    <n v="0"/>
    <n v="0"/>
    <n v="0"/>
    <n v="0"/>
    <n v="0"/>
    <n v="0"/>
    <n v="0"/>
    <n v="0"/>
    <n v="16"/>
    <n v="0"/>
    <n v="0"/>
    <n v="0"/>
  </r>
  <r>
    <x v="0"/>
    <s v="AAM-SC/SC"/>
    <x v="14"/>
    <s v="KUKKUNDOOR -B"/>
    <x v="0"/>
    <x v="25"/>
    <n v="0"/>
    <n v="0"/>
    <n v="79"/>
    <n v="0"/>
    <n v="79"/>
    <n v="340"/>
    <n v="7"/>
    <n v="8"/>
    <n v="3"/>
    <n v="83"/>
    <n v="46"/>
    <n v="104"/>
    <n v="0"/>
    <n v="0"/>
    <x v="0"/>
    <n v="0"/>
    <n v="0"/>
    <n v="0"/>
    <n v="0"/>
    <n v="0"/>
    <n v="0"/>
    <n v="0"/>
    <n v="0"/>
    <n v="0"/>
    <n v="0"/>
    <n v="0"/>
    <n v="0"/>
    <n v="0"/>
    <n v="0"/>
    <n v="0"/>
    <n v="0"/>
    <n v="0"/>
    <n v="0"/>
    <n v="0"/>
    <n v="0"/>
    <n v="0"/>
    <n v="0"/>
    <n v="0"/>
    <n v="0"/>
    <n v="0"/>
    <n v="0"/>
    <n v="19"/>
    <n v="2"/>
    <n v="0"/>
    <n v="0"/>
  </r>
  <r>
    <x v="0"/>
    <s v="AAM-SC/SC"/>
    <x v="13"/>
    <s v="MALA-A"/>
    <x v="0"/>
    <x v="26"/>
    <n v="0"/>
    <n v="0"/>
    <n v="29"/>
    <n v="0"/>
    <n v="26"/>
    <n v="99"/>
    <n v="1"/>
    <n v="1"/>
    <n v="0"/>
    <n v="0"/>
    <n v="0"/>
    <n v="0"/>
    <n v="0"/>
    <n v="0"/>
    <x v="0"/>
    <n v="0"/>
    <n v="0"/>
    <n v="0"/>
    <n v="0"/>
    <n v="0"/>
    <n v="0"/>
    <n v="0"/>
    <n v="0"/>
    <n v="0"/>
    <n v="0"/>
    <n v="0"/>
    <n v="0"/>
    <n v="0"/>
    <n v="0"/>
    <n v="0"/>
    <n v="0"/>
    <n v="0"/>
    <n v="0"/>
    <n v="0"/>
    <n v="0"/>
    <n v="0"/>
    <n v="0"/>
    <n v="0"/>
    <n v="0"/>
    <n v="0"/>
    <n v="0"/>
    <n v="0"/>
    <n v="0"/>
    <n v="0"/>
    <n v="0"/>
  </r>
  <r>
    <x v="0"/>
    <s v="AAM-SC/SC"/>
    <x v="13"/>
    <s v="MALA-B"/>
    <x v="0"/>
    <x v="15"/>
    <n v="0"/>
    <n v="0"/>
    <n v="30"/>
    <n v="0"/>
    <n v="29"/>
    <n v="78"/>
    <n v="0"/>
    <n v="0"/>
    <n v="1"/>
    <n v="0"/>
    <n v="0"/>
    <n v="0"/>
    <n v="0"/>
    <n v="0"/>
    <x v="0"/>
    <n v="0"/>
    <n v="0"/>
    <n v="0"/>
    <n v="0"/>
    <n v="0"/>
    <n v="0"/>
    <n v="0"/>
    <n v="0"/>
    <n v="0"/>
    <n v="0"/>
    <n v="0"/>
    <n v="0"/>
    <n v="0"/>
    <n v="0"/>
    <n v="0"/>
    <n v="0"/>
    <n v="0"/>
    <n v="0"/>
    <n v="0"/>
    <n v="0"/>
    <n v="0"/>
    <n v="0"/>
    <n v="0"/>
    <n v="0"/>
    <n v="0"/>
    <n v="0"/>
    <n v="0"/>
    <n v="0"/>
    <n v="0"/>
    <n v="0"/>
  </r>
  <r>
    <x v="0"/>
    <s v="AAM-SC/SC"/>
    <x v="10"/>
    <s v="MIYARU -A"/>
    <x v="0"/>
    <x v="27"/>
    <n v="0"/>
    <n v="0"/>
    <n v="38"/>
    <n v="0"/>
    <n v="36"/>
    <n v="414"/>
    <n v="2"/>
    <n v="5"/>
    <n v="0"/>
    <n v="45"/>
    <n v="45"/>
    <n v="21"/>
    <n v="0"/>
    <n v="0"/>
    <x v="0"/>
    <n v="0"/>
    <n v="0"/>
    <n v="0"/>
    <n v="0"/>
    <n v="0"/>
    <n v="0"/>
    <n v="0"/>
    <n v="0"/>
    <n v="0"/>
    <n v="0"/>
    <n v="0"/>
    <n v="0"/>
    <n v="0"/>
    <n v="0"/>
    <n v="0"/>
    <n v="0"/>
    <n v="0"/>
    <n v="0"/>
    <n v="0"/>
    <n v="0"/>
    <n v="0"/>
    <n v="0"/>
    <n v="0"/>
    <n v="0"/>
    <n v="0"/>
    <n v="0"/>
    <n v="20"/>
    <n v="0"/>
    <n v="0"/>
    <n v="0"/>
  </r>
  <r>
    <x v="0"/>
    <s v="AAM-SC/SC"/>
    <x v="10"/>
    <s v="MIYARU B"/>
    <x v="0"/>
    <x v="1"/>
    <n v="0"/>
    <n v="0"/>
    <n v="24"/>
    <n v="0"/>
    <n v="22"/>
    <n v="246"/>
    <n v="5"/>
    <n v="5"/>
    <n v="1"/>
    <n v="19"/>
    <n v="20"/>
    <n v="10"/>
    <n v="0"/>
    <n v="0"/>
    <x v="0"/>
    <n v="0"/>
    <n v="0"/>
    <n v="0"/>
    <n v="0"/>
    <n v="0"/>
    <n v="0"/>
    <n v="0"/>
    <n v="0"/>
    <n v="0"/>
    <n v="0"/>
    <n v="0"/>
    <n v="0"/>
    <n v="0"/>
    <n v="0"/>
    <n v="0"/>
    <n v="0"/>
    <n v="0"/>
    <n v="0"/>
    <n v="0"/>
    <n v="0"/>
    <n v="0"/>
    <n v="0"/>
    <n v="0"/>
    <n v="0"/>
    <n v="0"/>
    <n v="0"/>
    <n v="9"/>
    <n v="0"/>
    <n v="0"/>
    <n v="0"/>
  </r>
  <r>
    <x v="0"/>
    <s v="AAM-SC/SC"/>
    <x v="15"/>
    <s v="MUDAR"/>
    <x v="0"/>
    <x v="28"/>
    <n v="0"/>
    <n v="0"/>
    <n v="41"/>
    <n v="0"/>
    <n v="38"/>
    <n v="271"/>
    <n v="4"/>
    <n v="1"/>
    <n v="0"/>
    <n v="44"/>
    <n v="44"/>
    <n v="0"/>
    <n v="13"/>
    <n v="0"/>
    <x v="0"/>
    <n v="0"/>
    <n v="0"/>
    <n v="0"/>
    <n v="0"/>
    <n v="0"/>
    <n v="0"/>
    <n v="0"/>
    <n v="0"/>
    <n v="0"/>
    <n v="0"/>
    <n v="0"/>
    <n v="0"/>
    <n v="0"/>
    <n v="0"/>
    <n v="0"/>
    <n v="0"/>
    <n v="0"/>
    <n v="0"/>
    <n v="0"/>
    <n v="0"/>
    <n v="0"/>
    <n v="0"/>
    <n v="0"/>
    <n v="0"/>
    <n v="0"/>
    <n v="0"/>
    <n v="8"/>
    <n v="0"/>
    <n v="0"/>
    <n v="0"/>
  </r>
  <r>
    <x v="0"/>
    <s v="AAM-SC/SC"/>
    <x v="16"/>
    <s v="MULLADAKA"/>
    <x v="0"/>
    <x v="29"/>
    <n v="0"/>
    <n v="0"/>
    <n v="5"/>
    <n v="0"/>
    <n v="5"/>
    <n v="34"/>
    <n v="0"/>
    <n v="0"/>
    <n v="0"/>
    <n v="7"/>
    <n v="6"/>
    <n v="3"/>
    <n v="0"/>
    <n v="0"/>
    <x v="0"/>
    <n v="0"/>
    <n v="0"/>
    <n v="8"/>
    <n v="1"/>
    <n v="0"/>
    <n v="0"/>
    <n v="0"/>
    <n v="0"/>
    <n v="0"/>
    <n v="0"/>
    <n v="0"/>
    <n v="0"/>
    <n v="0"/>
    <n v="0"/>
    <n v="0"/>
    <n v="0"/>
    <n v="0"/>
    <n v="0"/>
    <n v="0"/>
    <n v="0"/>
    <n v="0"/>
    <n v="0"/>
    <n v="0"/>
    <n v="0"/>
    <n v="0"/>
    <n v="0"/>
    <n v="0"/>
    <n v="0"/>
    <n v="0"/>
    <n v="0"/>
  </r>
  <r>
    <x v="0"/>
    <s v="AAM-SC/SC"/>
    <x v="16"/>
    <s v="MUNDKURU"/>
    <x v="0"/>
    <x v="5"/>
    <n v="0"/>
    <n v="0"/>
    <n v="12"/>
    <n v="0"/>
    <n v="12"/>
    <n v="78"/>
    <n v="1"/>
    <n v="1"/>
    <n v="0"/>
    <n v="15"/>
    <n v="12"/>
    <n v="13"/>
    <n v="0"/>
    <n v="0"/>
    <x v="0"/>
    <n v="0"/>
    <n v="0"/>
    <n v="6"/>
    <n v="3"/>
    <n v="0"/>
    <n v="0"/>
    <n v="0"/>
    <n v="0"/>
    <n v="0"/>
    <n v="0"/>
    <n v="0"/>
    <n v="0"/>
    <n v="0"/>
    <n v="0"/>
    <n v="0"/>
    <n v="0"/>
    <n v="0"/>
    <n v="0"/>
    <n v="0"/>
    <n v="0"/>
    <n v="0"/>
    <n v="0"/>
    <n v="0"/>
    <n v="0"/>
    <n v="0"/>
    <n v="0"/>
    <n v="0"/>
    <n v="0"/>
    <n v="0"/>
    <n v="0"/>
  </r>
  <r>
    <x v="0"/>
    <s v="AAM-SC/SC"/>
    <x v="15"/>
    <s v="NALLURU-A"/>
    <x v="0"/>
    <x v="30"/>
    <n v="0"/>
    <n v="0"/>
    <n v="34"/>
    <n v="0"/>
    <n v="34"/>
    <n v="197"/>
    <n v="3"/>
    <n v="1"/>
    <n v="0"/>
    <n v="26"/>
    <n v="25"/>
    <n v="0"/>
    <n v="0"/>
    <n v="0"/>
    <x v="0"/>
    <n v="0"/>
    <n v="0"/>
    <n v="0"/>
    <n v="0"/>
    <n v="0"/>
    <n v="0"/>
    <n v="0"/>
    <n v="0"/>
    <n v="0"/>
    <n v="0"/>
    <n v="0"/>
    <n v="0"/>
    <n v="0"/>
    <n v="0"/>
    <n v="0"/>
    <n v="0"/>
    <n v="0"/>
    <n v="0"/>
    <n v="0"/>
    <n v="0"/>
    <n v="0"/>
    <n v="0"/>
    <n v="0"/>
    <n v="0"/>
    <n v="0"/>
    <n v="0"/>
    <n v="8"/>
    <n v="0"/>
    <n v="0"/>
    <n v="0"/>
  </r>
  <r>
    <x v="0"/>
    <s v="AAM-SC/SC"/>
    <x v="15"/>
    <s v="NALLURU-B"/>
    <x v="0"/>
    <x v="4"/>
    <n v="0"/>
    <n v="0"/>
    <n v="23"/>
    <n v="0"/>
    <n v="23"/>
    <n v="120"/>
    <n v="6"/>
    <n v="1"/>
    <n v="2"/>
    <n v="22"/>
    <n v="20"/>
    <n v="0"/>
    <n v="0"/>
    <n v="0"/>
    <x v="0"/>
    <n v="0"/>
    <n v="0"/>
    <n v="0"/>
    <n v="0"/>
    <n v="0"/>
    <n v="0"/>
    <n v="0"/>
    <n v="0"/>
    <n v="0"/>
    <n v="0"/>
    <n v="0"/>
    <n v="0"/>
    <n v="0"/>
    <n v="0"/>
    <n v="0"/>
    <n v="0"/>
    <n v="0"/>
    <n v="0"/>
    <n v="0"/>
    <n v="0"/>
    <n v="0"/>
    <n v="0"/>
    <n v="0"/>
    <n v="0"/>
    <n v="0"/>
    <n v="0"/>
    <n v="2"/>
    <n v="0"/>
    <n v="0"/>
    <n v="0"/>
  </r>
  <r>
    <x v="0"/>
    <s v="AAM-SC/SC"/>
    <x v="17"/>
    <s v="NANDALIKE-A"/>
    <x v="0"/>
    <x v="19"/>
    <n v="0"/>
    <n v="0"/>
    <n v="19"/>
    <n v="0"/>
    <n v="16"/>
    <n v="76"/>
    <n v="0"/>
    <n v="0"/>
    <n v="0"/>
    <n v="12"/>
    <n v="12"/>
    <n v="11"/>
    <n v="12"/>
    <n v="0"/>
    <x v="0"/>
    <n v="0"/>
    <n v="0"/>
    <n v="0"/>
    <n v="1"/>
    <n v="0"/>
    <n v="0"/>
    <n v="0"/>
    <n v="0"/>
    <n v="0"/>
    <n v="0"/>
    <n v="0"/>
    <n v="0"/>
    <n v="0"/>
    <n v="0"/>
    <n v="0"/>
    <n v="0"/>
    <n v="0"/>
    <n v="0"/>
    <n v="0"/>
    <n v="0"/>
    <n v="0"/>
    <n v="0"/>
    <n v="0"/>
    <n v="0"/>
    <n v="0"/>
    <n v="0"/>
    <n v="1"/>
    <n v="0"/>
    <n v="0"/>
    <n v="0"/>
  </r>
  <r>
    <x v="0"/>
    <s v="AAM-SC/SC"/>
    <x v="17"/>
    <s v="NANDALIKE-B"/>
    <x v="0"/>
    <x v="16"/>
    <n v="0"/>
    <n v="0"/>
    <n v="22"/>
    <n v="0"/>
    <n v="21"/>
    <n v="114"/>
    <n v="0"/>
    <n v="0"/>
    <n v="0"/>
    <n v="17"/>
    <n v="12"/>
    <n v="9"/>
    <n v="0"/>
    <n v="0"/>
    <x v="0"/>
    <n v="0"/>
    <n v="0"/>
    <n v="0"/>
    <n v="0"/>
    <n v="0"/>
    <n v="0"/>
    <n v="0"/>
    <n v="0"/>
    <n v="0"/>
    <n v="0"/>
    <n v="0"/>
    <n v="0"/>
    <n v="0"/>
    <n v="0"/>
    <n v="0"/>
    <n v="0"/>
    <n v="0"/>
    <n v="0"/>
    <n v="0"/>
    <n v="0"/>
    <n v="0"/>
    <n v="0"/>
    <n v="0"/>
    <n v="0"/>
    <n v="0"/>
    <n v="0"/>
    <n v="0"/>
    <n v="0"/>
    <n v="0"/>
    <n v="0"/>
  </r>
  <r>
    <x v="0"/>
    <s v="AAM-SC/SC"/>
    <x v="3"/>
    <s v="NEERE"/>
    <x v="0"/>
    <x v="27"/>
    <n v="0"/>
    <n v="0"/>
    <n v="38"/>
    <n v="0"/>
    <n v="38"/>
    <n v="243"/>
    <n v="0"/>
    <n v="0"/>
    <n v="0"/>
    <n v="36"/>
    <n v="32"/>
    <n v="21"/>
    <n v="0"/>
    <n v="0"/>
    <x v="0"/>
    <n v="0"/>
    <n v="0"/>
    <n v="0"/>
    <n v="0"/>
    <n v="0"/>
    <n v="0"/>
    <n v="0"/>
    <n v="0"/>
    <n v="0"/>
    <n v="0"/>
    <n v="0"/>
    <n v="0"/>
    <n v="0"/>
    <n v="0"/>
    <n v="0"/>
    <n v="0"/>
    <n v="0"/>
    <n v="0"/>
    <n v="0"/>
    <n v="0"/>
    <n v="0"/>
    <n v="0"/>
    <n v="0"/>
    <n v="0"/>
    <n v="0"/>
    <n v="0"/>
    <n v="14"/>
    <n v="0"/>
    <n v="0"/>
    <n v="0"/>
  </r>
  <r>
    <x v="0"/>
    <s v="AAM-SC/SC"/>
    <x v="12"/>
    <s v="NINJOOR"/>
    <x v="0"/>
    <x v="5"/>
    <n v="0"/>
    <n v="0"/>
    <n v="12"/>
    <n v="0"/>
    <n v="10"/>
    <n v="75"/>
    <n v="0"/>
    <n v="0"/>
    <n v="0"/>
    <n v="12"/>
    <n v="12"/>
    <n v="11"/>
    <n v="0"/>
    <n v="0"/>
    <x v="0"/>
    <n v="0"/>
    <n v="0"/>
    <n v="0"/>
    <n v="0"/>
    <n v="0"/>
    <n v="0"/>
    <n v="0"/>
    <n v="0"/>
    <n v="0"/>
    <n v="0"/>
    <n v="0"/>
    <n v="0"/>
    <n v="0"/>
    <n v="0"/>
    <n v="0"/>
    <n v="0"/>
    <n v="0"/>
    <n v="0"/>
    <n v="0"/>
    <n v="0"/>
    <n v="0"/>
    <n v="0"/>
    <n v="0"/>
    <n v="0"/>
    <n v="0"/>
    <n v="0"/>
    <n v="0"/>
    <n v="0"/>
    <n v="0"/>
    <n v="0"/>
  </r>
  <r>
    <x v="0"/>
    <s v="AAM-SC/SC"/>
    <x v="5"/>
    <s v="NITTE-A"/>
    <x v="0"/>
    <x v="24"/>
    <n v="0"/>
    <n v="0"/>
    <n v="39"/>
    <n v="0"/>
    <n v="32"/>
    <n v="174"/>
    <n v="0"/>
    <n v="0"/>
    <n v="0"/>
    <n v="33"/>
    <n v="31"/>
    <n v="34"/>
    <n v="0"/>
    <n v="0"/>
    <x v="0"/>
    <n v="0"/>
    <n v="0"/>
    <n v="0"/>
    <n v="0"/>
    <n v="0"/>
    <n v="0"/>
    <n v="0"/>
    <n v="0"/>
    <n v="0"/>
    <n v="0"/>
    <n v="0"/>
    <n v="0"/>
    <n v="0"/>
    <n v="0"/>
    <n v="0"/>
    <n v="0"/>
    <n v="0"/>
    <n v="0"/>
    <n v="0"/>
    <n v="0"/>
    <n v="0"/>
    <n v="0"/>
    <n v="0"/>
    <n v="0"/>
    <n v="0"/>
    <n v="0"/>
    <n v="18"/>
    <n v="0"/>
    <n v="0"/>
    <n v="0"/>
  </r>
  <r>
    <x v="0"/>
    <s v="AAM-SC/SC"/>
    <x v="5"/>
    <s v="NITTE-B"/>
    <x v="0"/>
    <x v="3"/>
    <n v="0"/>
    <n v="0"/>
    <n v="28"/>
    <n v="0"/>
    <n v="27"/>
    <n v="124"/>
    <n v="0"/>
    <n v="0"/>
    <n v="0"/>
    <n v="12"/>
    <n v="12"/>
    <n v="26"/>
    <n v="0"/>
    <n v="0"/>
    <x v="0"/>
    <n v="0"/>
    <n v="0"/>
    <n v="0"/>
    <n v="0"/>
    <n v="0"/>
    <n v="0"/>
    <n v="0"/>
    <n v="0"/>
    <n v="0"/>
    <n v="0"/>
    <n v="0"/>
    <n v="0"/>
    <n v="0"/>
    <n v="0"/>
    <n v="0"/>
    <n v="0"/>
    <n v="0"/>
    <n v="0"/>
    <n v="0"/>
    <n v="0"/>
    <n v="0"/>
    <n v="0"/>
    <n v="0"/>
    <n v="0"/>
    <n v="0"/>
    <n v="0"/>
    <n v="11"/>
    <n v="0"/>
    <n v="0"/>
    <n v="0"/>
  </r>
  <r>
    <x v="0"/>
    <s v="AAM-SC/SC"/>
    <x v="5"/>
    <s v="NITTE-C"/>
    <x v="0"/>
    <x v="31"/>
    <n v="0"/>
    <n v="0"/>
    <n v="36"/>
    <n v="0"/>
    <n v="36"/>
    <n v="110"/>
    <n v="1"/>
    <n v="1"/>
    <n v="0"/>
    <n v="26"/>
    <n v="26"/>
    <n v="31"/>
    <n v="0"/>
    <n v="0"/>
    <x v="0"/>
    <n v="0"/>
    <n v="0"/>
    <n v="0"/>
    <n v="0"/>
    <n v="0"/>
    <n v="0"/>
    <n v="0"/>
    <n v="0"/>
    <n v="0"/>
    <n v="0"/>
    <n v="0"/>
    <n v="0"/>
    <n v="0"/>
    <n v="0"/>
    <n v="0"/>
    <n v="0"/>
    <n v="0"/>
    <n v="0"/>
    <n v="0"/>
    <n v="0"/>
    <n v="0"/>
    <n v="0"/>
    <n v="0"/>
    <n v="0"/>
    <n v="0"/>
    <n v="0"/>
    <n v="0"/>
    <n v="0"/>
    <n v="0"/>
    <n v="0"/>
  </r>
  <r>
    <x v="0"/>
    <s v="AAM-SC/SC"/>
    <x v="8"/>
    <s v="NOORALABETTU"/>
    <x v="0"/>
    <x v="10"/>
    <n v="0"/>
    <n v="0"/>
    <n v="26"/>
    <n v="0"/>
    <n v="24"/>
    <n v="153"/>
    <n v="5"/>
    <n v="3"/>
    <n v="1"/>
    <n v="19"/>
    <n v="4"/>
    <n v="0"/>
    <n v="0"/>
    <n v="0"/>
    <x v="0"/>
    <n v="0"/>
    <n v="0"/>
    <n v="7"/>
    <n v="0"/>
    <n v="0"/>
    <n v="0"/>
    <n v="1"/>
    <n v="0"/>
    <n v="0"/>
    <n v="0"/>
    <n v="0"/>
    <n v="0"/>
    <n v="0"/>
    <n v="0"/>
    <n v="0"/>
    <n v="0"/>
    <n v="0"/>
    <n v="0"/>
    <n v="0"/>
    <n v="0"/>
    <n v="0"/>
    <n v="0"/>
    <n v="0"/>
    <n v="0"/>
    <n v="0"/>
    <n v="0"/>
    <n v="9"/>
    <n v="0"/>
    <n v="0"/>
    <n v="0"/>
  </r>
  <r>
    <x v="0"/>
    <s v="AAM-SC/SC"/>
    <x v="12"/>
    <s v="PALLI"/>
    <x v="0"/>
    <x v="1"/>
    <n v="0"/>
    <n v="0"/>
    <n v="24"/>
    <n v="0"/>
    <n v="24"/>
    <n v="179"/>
    <n v="0"/>
    <n v="1"/>
    <n v="0"/>
    <n v="25"/>
    <n v="25"/>
    <n v="25"/>
    <n v="0"/>
    <n v="0"/>
    <x v="0"/>
    <n v="0"/>
    <n v="0"/>
    <n v="8"/>
    <n v="1"/>
    <n v="0"/>
    <n v="0"/>
    <n v="0"/>
    <n v="0"/>
    <n v="0"/>
    <n v="0"/>
    <n v="0"/>
    <n v="0"/>
    <n v="0"/>
    <n v="0"/>
    <n v="0"/>
    <n v="0"/>
    <n v="0"/>
    <n v="0"/>
    <n v="0"/>
    <n v="0"/>
    <n v="0"/>
    <n v="0"/>
    <n v="0"/>
    <n v="0"/>
    <n v="0"/>
    <n v="0"/>
    <n v="0"/>
    <n v="0"/>
    <n v="0"/>
    <n v="0"/>
  </r>
  <r>
    <x v="0"/>
    <s v="AAM-SC/SC"/>
    <x v="10"/>
    <s v="RENJALA"/>
    <x v="0"/>
    <x v="17"/>
    <n v="0"/>
    <n v="0"/>
    <n v="33"/>
    <n v="0"/>
    <n v="33"/>
    <n v="339"/>
    <n v="2"/>
    <n v="0"/>
    <n v="0"/>
    <n v="29"/>
    <n v="29"/>
    <n v="24"/>
    <n v="0"/>
    <n v="0"/>
    <x v="0"/>
    <n v="0"/>
    <n v="0"/>
    <n v="0"/>
    <n v="0"/>
    <n v="0"/>
    <n v="0"/>
    <n v="0"/>
    <n v="0"/>
    <n v="0"/>
    <n v="0"/>
    <n v="0"/>
    <n v="0"/>
    <n v="0"/>
    <n v="0"/>
    <n v="0"/>
    <n v="0"/>
    <n v="0"/>
    <n v="0"/>
    <n v="0"/>
    <n v="0"/>
    <n v="0"/>
    <n v="0"/>
    <n v="0"/>
    <n v="0"/>
    <n v="0"/>
    <n v="0"/>
    <n v="14"/>
    <n v="0"/>
    <n v="0"/>
    <n v="0"/>
  </r>
  <r>
    <x v="0"/>
    <s v="AAM-SC/SC"/>
    <x v="16"/>
    <s v="SACHARIPETE A"/>
    <x v="0"/>
    <x v="3"/>
    <n v="0"/>
    <n v="0"/>
    <n v="28"/>
    <n v="0"/>
    <n v="27"/>
    <n v="177"/>
    <n v="0"/>
    <n v="0"/>
    <n v="0"/>
    <n v="16"/>
    <n v="13"/>
    <n v="26"/>
    <n v="0"/>
    <n v="0"/>
    <x v="0"/>
    <n v="0"/>
    <n v="0"/>
    <n v="16"/>
    <n v="1"/>
    <n v="0"/>
    <n v="0"/>
    <n v="0"/>
    <n v="0"/>
    <n v="0"/>
    <n v="0"/>
    <n v="0"/>
    <n v="0"/>
    <n v="0"/>
    <n v="0"/>
    <n v="0"/>
    <n v="0"/>
    <n v="0"/>
    <n v="0"/>
    <n v="0"/>
    <n v="0"/>
    <n v="0"/>
    <n v="0"/>
    <n v="0"/>
    <n v="0"/>
    <n v="0"/>
    <n v="0"/>
    <n v="1"/>
    <n v="0"/>
    <n v="0"/>
    <n v="0"/>
  </r>
  <r>
    <x v="0"/>
    <s v="AAM-SC/SC"/>
    <x v="16"/>
    <s v="SACHERIPATE- B"/>
    <x v="0"/>
    <x v="21"/>
    <n v="0"/>
    <n v="0"/>
    <n v="6"/>
    <n v="0"/>
    <n v="6"/>
    <n v="40"/>
    <n v="1"/>
    <n v="2"/>
    <n v="0"/>
    <n v="9"/>
    <n v="7"/>
    <n v="8"/>
    <n v="0"/>
    <n v="0"/>
    <x v="0"/>
    <n v="0"/>
    <n v="0"/>
    <n v="4"/>
    <n v="0"/>
    <n v="0"/>
    <n v="0"/>
    <n v="0"/>
    <n v="0"/>
    <n v="0"/>
    <n v="0"/>
    <n v="0"/>
    <n v="0"/>
    <n v="0"/>
    <n v="0"/>
    <n v="0"/>
    <n v="0"/>
    <n v="0"/>
    <n v="0"/>
    <n v="0"/>
    <n v="0"/>
    <n v="0"/>
    <n v="0"/>
    <n v="0"/>
    <n v="0"/>
    <n v="0"/>
    <n v="0"/>
    <n v="0"/>
    <n v="0"/>
    <n v="0"/>
    <n v="0"/>
  </r>
  <r>
    <x v="0"/>
    <s v="AAM-SC/SC"/>
    <x v="10"/>
    <s v="SANUR-A"/>
    <x v="0"/>
    <x v="7"/>
    <n v="0"/>
    <n v="0"/>
    <n v="35"/>
    <n v="0"/>
    <n v="35"/>
    <n v="400"/>
    <n v="5"/>
    <n v="2"/>
    <n v="3"/>
    <n v="29"/>
    <n v="26"/>
    <n v="27"/>
    <n v="0"/>
    <n v="0"/>
    <x v="0"/>
    <n v="0"/>
    <n v="0"/>
    <n v="0"/>
    <n v="0"/>
    <n v="0"/>
    <n v="0"/>
    <n v="0"/>
    <n v="0"/>
    <n v="0"/>
    <n v="0"/>
    <n v="0"/>
    <n v="0"/>
    <n v="0"/>
    <n v="0"/>
    <n v="0"/>
    <n v="0"/>
    <n v="0"/>
    <n v="0"/>
    <n v="0"/>
    <n v="0"/>
    <n v="0"/>
    <n v="0"/>
    <n v="0"/>
    <n v="0"/>
    <n v="0"/>
    <n v="0"/>
    <n v="16"/>
    <n v="0"/>
    <n v="0"/>
    <n v="0"/>
  </r>
  <r>
    <x v="0"/>
    <s v="AAM-SC/SC"/>
    <x v="10"/>
    <s v="SANUR-B"/>
    <x v="0"/>
    <x v="32"/>
    <n v="0"/>
    <n v="0"/>
    <n v="31"/>
    <n v="0"/>
    <n v="23"/>
    <n v="304"/>
    <n v="0"/>
    <n v="1"/>
    <n v="0"/>
    <n v="28"/>
    <n v="28"/>
    <n v="9"/>
    <n v="0"/>
    <n v="0"/>
    <x v="0"/>
    <n v="0"/>
    <n v="0"/>
    <n v="0"/>
    <n v="0"/>
    <n v="0"/>
    <n v="0"/>
    <n v="0"/>
    <n v="0"/>
    <n v="0"/>
    <n v="0"/>
    <n v="0"/>
    <n v="0"/>
    <n v="0"/>
    <n v="0"/>
    <n v="0"/>
    <n v="0"/>
    <n v="0"/>
    <n v="0"/>
    <n v="0"/>
    <n v="0"/>
    <n v="0"/>
    <n v="0"/>
    <n v="0"/>
    <n v="0"/>
    <n v="0"/>
    <n v="0"/>
    <n v="11"/>
    <n v="0"/>
    <n v="0"/>
    <n v="0"/>
  </r>
  <r>
    <x v="0"/>
    <s v="AAM-SC/SC"/>
    <x v="13"/>
    <s v="Shirlal"/>
    <x v="0"/>
    <x v="32"/>
    <n v="0"/>
    <n v="0"/>
    <n v="31"/>
    <n v="0"/>
    <n v="30"/>
    <n v="93"/>
    <n v="1"/>
    <n v="2"/>
    <n v="0"/>
    <n v="0"/>
    <n v="0"/>
    <n v="0"/>
    <n v="0"/>
    <n v="0"/>
    <x v="0"/>
    <n v="0"/>
    <n v="0"/>
    <n v="0"/>
    <n v="0"/>
    <n v="0"/>
    <n v="0"/>
    <n v="0"/>
    <n v="0"/>
    <n v="0"/>
    <n v="0"/>
    <n v="0"/>
    <n v="0"/>
    <n v="0"/>
    <n v="0"/>
    <n v="0"/>
    <n v="0"/>
    <n v="0"/>
    <n v="0"/>
    <n v="0"/>
    <n v="0"/>
    <n v="0"/>
    <n v="0"/>
    <n v="0"/>
    <n v="0"/>
    <n v="0"/>
    <n v="0"/>
    <n v="0"/>
    <n v="0"/>
    <n v="0"/>
    <n v="0"/>
  </r>
  <r>
    <x v="0"/>
    <s v="AAM-SC/SC"/>
    <x v="4"/>
    <s v="SOODA"/>
    <x v="0"/>
    <x v="11"/>
    <n v="0"/>
    <n v="0"/>
    <n v="16"/>
    <n v="0"/>
    <n v="15"/>
    <n v="83"/>
    <n v="0"/>
    <n v="0"/>
    <n v="0"/>
    <n v="15"/>
    <n v="15"/>
    <n v="10"/>
    <n v="0"/>
    <n v="2"/>
    <x v="0"/>
    <n v="0"/>
    <n v="0"/>
    <n v="0"/>
    <n v="0"/>
    <n v="0"/>
    <n v="0"/>
    <n v="0"/>
    <n v="0"/>
    <n v="0"/>
    <n v="0"/>
    <n v="0"/>
    <n v="0"/>
    <n v="0"/>
    <n v="0"/>
    <n v="0"/>
    <n v="0"/>
    <n v="0"/>
    <n v="0"/>
    <n v="0"/>
    <n v="0"/>
    <n v="0"/>
    <n v="0"/>
    <n v="0"/>
    <n v="0"/>
    <n v="0"/>
    <n v="0"/>
    <n v="0"/>
    <n v="0"/>
    <n v="0"/>
    <n v="0"/>
  </r>
  <r>
    <x v="0"/>
    <s v="AAM-SC/SC"/>
    <x v="11"/>
    <s v="YELLARE"/>
    <x v="0"/>
    <x v="9"/>
    <n v="0"/>
    <n v="0"/>
    <n v="11"/>
    <n v="0"/>
    <n v="10"/>
    <n v="43"/>
    <n v="1"/>
    <n v="0"/>
    <n v="0"/>
    <n v="6"/>
    <n v="6"/>
    <n v="2"/>
    <n v="0"/>
    <n v="0"/>
    <x v="0"/>
    <n v="0"/>
    <n v="0"/>
    <n v="0"/>
    <n v="0"/>
    <n v="0"/>
    <n v="0"/>
    <n v="0"/>
    <n v="0"/>
    <n v="0"/>
    <n v="0"/>
    <n v="0"/>
    <n v="0"/>
    <n v="0"/>
    <n v="0"/>
    <n v="0"/>
    <n v="0"/>
    <n v="0"/>
    <n v="0"/>
    <n v="0"/>
    <n v="0"/>
    <n v="0"/>
    <n v="0"/>
    <n v="0"/>
    <n v="0"/>
    <n v="0"/>
    <n v="0"/>
    <n v="0"/>
    <n v="0"/>
    <n v="0"/>
    <n v="0"/>
  </r>
  <r>
    <x v="0"/>
    <s v="AAM-SC/SC"/>
    <x v="2"/>
    <s v="YENNEHOLE"/>
    <x v="0"/>
    <x v="33"/>
    <n v="0"/>
    <n v="0"/>
    <n v="53"/>
    <n v="0"/>
    <n v="53"/>
    <n v="137"/>
    <n v="1"/>
    <n v="1"/>
    <n v="0"/>
    <n v="3"/>
    <n v="1"/>
    <n v="0"/>
    <n v="0"/>
    <n v="0"/>
    <x v="0"/>
    <n v="0"/>
    <n v="0"/>
    <n v="0"/>
    <n v="0"/>
    <n v="0"/>
    <n v="0"/>
    <n v="0"/>
    <n v="0"/>
    <n v="0"/>
    <n v="0"/>
    <n v="0"/>
    <n v="0"/>
    <n v="0"/>
    <n v="0"/>
    <n v="0"/>
    <n v="0"/>
    <n v="0"/>
    <n v="0"/>
    <n v="0"/>
    <n v="0"/>
    <n v="0"/>
    <n v="0"/>
    <n v="0"/>
    <n v="0"/>
    <n v="0"/>
    <n v="0"/>
    <n v="1"/>
    <n v="1"/>
    <n v="0"/>
    <n v="0"/>
  </r>
  <r>
    <x v="0"/>
    <s v="AAM-SC/SC"/>
    <x v="3"/>
    <s v="YERLAPADI"/>
    <x v="0"/>
    <x v="24"/>
    <n v="0"/>
    <n v="0"/>
    <n v="38"/>
    <n v="0"/>
    <n v="39"/>
    <n v="188"/>
    <n v="1"/>
    <n v="1"/>
    <n v="0"/>
    <n v="29"/>
    <n v="29"/>
    <n v="22"/>
    <n v="0"/>
    <n v="0"/>
    <x v="0"/>
    <n v="0"/>
    <n v="0"/>
    <n v="0"/>
    <n v="0"/>
    <n v="0"/>
    <n v="0"/>
    <n v="0"/>
    <n v="0"/>
    <n v="0"/>
    <n v="0"/>
    <n v="0"/>
    <n v="0"/>
    <n v="0"/>
    <n v="0"/>
    <n v="0"/>
    <n v="0"/>
    <n v="0"/>
    <n v="0"/>
    <n v="0"/>
    <n v="0"/>
    <n v="0"/>
    <n v="0"/>
    <n v="0"/>
    <n v="0"/>
    <n v="0"/>
    <n v="0"/>
    <n v="8"/>
    <n v="0"/>
    <n v="0"/>
    <n v="0"/>
  </r>
  <r>
    <x v="0"/>
    <s v="AAM-PHC/PHC"/>
    <x v="2"/>
    <s v="AJEKARU"/>
    <x v="0"/>
    <x v="12"/>
    <n v="0"/>
    <n v="0"/>
    <n v="0"/>
    <n v="0"/>
    <n v="0"/>
    <n v="301"/>
    <n v="43"/>
    <n v="42"/>
    <n v="1"/>
    <n v="30"/>
    <n v="46"/>
    <n v="26"/>
    <n v="192"/>
    <n v="0"/>
    <x v="0"/>
    <n v="0"/>
    <n v="0"/>
    <n v="146"/>
    <n v="66"/>
    <n v="0"/>
    <n v="0"/>
    <n v="0"/>
    <n v="0"/>
    <n v="0"/>
    <n v="0"/>
    <n v="92"/>
    <n v="0"/>
    <n v="0"/>
    <n v="0"/>
    <n v="0"/>
    <n v="0"/>
    <n v="0"/>
    <n v="0"/>
    <n v="26"/>
    <n v="0"/>
    <n v="0"/>
    <n v="0"/>
    <n v="0"/>
    <n v="0"/>
    <n v="0"/>
    <n v="0"/>
    <n v="0"/>
    <n v="0"/>
    <n v="0"/>
    <n v="0"/>
  </r>
  <r>
    <x v="0"/>
    <s v="AAM-PHC/PHC"/>
    <x v="3"/>
    <s v="BAILORE"/>
    <x v="0"/>
    <x v="12"/>
    <n v="0"/>
    <n v="0"/>
    <n v="0"/>
    <n v="0"/>
    <n v="0"/>
    <n v="464"/>
    <n v="62"/>
    <n v="52"/>
    <n v="7"/>
    <n v="90"/>
    <n v="90"/>
    <n v="79"/>
    <n v="116"/>
    <n v="0"/>
    <x v="0"/>
    <n v="0"/>
    <n v="0"/>
    <n v="158"/>
    <n v="48"/>
    <n v="1"/>
    <n v="1"/>
    <n v="6"/>
    <n v="1"/>
    <n v="1"/>
    <n v="0"/>
    <n v="50"/>
    <n v="0"/>
    <n v="0"/>
    <n v="0"/>
    <n v="0"/>
    <n v="0"/>
    <n v="0"/>
    <n v="0"/>
    <n v="1"/>
    <n v="1"/>
    <n v="1"/>
    <n v="0"/>
    <n v="0"/>
    <n v="0"/>
    <n v="0"/>
    <n v="0"/>
    <n v="0"/>
    <n v="0"/>
    <n v="0"/>
    <n v="0"/>
  </r>
  <r>
    <x v="0"/>
    <s v="AAM-PHC/PHC"/>
    <x v="15"/>
    <s v="BAJAGOLI"/>
    <x v="0"/>
    <x v="12"/>
    <n v="0"/>
    <n v="0"/>
    <n v="0"/>
    <n v="0"/>
    <n v="0"/>
    <n v="197"/>
    <n v="53"/>
    <n v="53"/>
    <n v="5"/>
    <n v="11"/>
    <n v="2"/>
    <n v="89"/>
    <n v="25"/>
    <n v="0"/>
    <x v="0"/>
    <n v="0"/>
    <n v="0"/>
    <n v="0"/>
    <n v="109"/>
    <n v="0"/>
    <n v="0"/>
    <n v="0"/>
    <n v="0"/>
    <n v="0"/>
    <n v="0"/>
    <n v="52"/>
    <n v="0"/>
    <n v="0"/>
    <n v="0"/>
    <n v="0"/>
    <n v="0"/>
    <n v="0"/>
    <n v="0"/>
    <n v="0"/>
    <n v="0"/>
    <n v="0"/>
    <n v="0"/>
    <n v="0"/>
    <n v="0"/>
    <n v="0"/>
    <n v="0"/>
    <n v="0"/>
    <n v="0"/>
    <n v="0"/>
    <n v="0"/>
  </r>
  <r>
    <x v="0"/>
    <s v="AAM-PHC/PHC"/>
    <x v="4"/>
    <s v="BELMAN"/>
    <x v="0"/>
    <x v="12"/>
    <n v="0"/>
    <n v="0"/>
    <n v="0"/>
    <n v="0"/>
    <n v="0"/>
    <n v="43"/>
    <n v="23"/>
    <n v="15"/>
    <n v="1"/>
    <n v="0"/>
    <n v="0"/>
    <n v="21"/>
    <n v="66"/>
    <n v="0"/>
    <x v="0"/>
    <n v="0"/>
    <n v="0"/>
    <n v="80"/>
    <n v="36"/>
    <n v="0"/>
    <n v="0"/>
    <n v="7"/>
    <n v="0"/>
    <n v="0"/>
    <n v="0"/>
    <n v="43"/>
    <n v="1"/>
    <n v="1"/>
    <n v="0"/>
    <n v="0"/>
    <n v="0"/>
    <n v="0"/>
    <n v="0"/>
    <n v="0"/>
    <n v="0"/>
    <n v="0"/>
    <n v="0"/>
    <n v="0"/>
    <n v="0"/>
    <n v="0"/>
    <n v="0"/>
    <n v="0"/>
    <n v="0"/>
    <n v="0"/>
    <n v="0"/>
  </r>
  <r>
    <x v="0"/>
    <s v="AAM-PHC/PHC"/>
    <x v="11"/>
    <s v="DONDARANGAADI"/>
    <x v="0"/>
    <x v="12"/>
    <n v="0"/>
    <n v="0"/>
    <n v="0"/>
    <n v="0"/>
    <n v="0"/>
    <n v="46"/>
    <n v="24"/>
    <n v="19"/>
    <n v="2"/>
    <n v="0"/>
    <n v="0"/>
    <n v="0"/>
    <n v="28"/>
    <n v="0"/>
    <x v="0"/>
    <n v="0"/>
    <n v="0"/>
    <n v="0"/>
    <n v="0"/>
    <n v="0"/>
    <n v="0"/>
    <n v="1"/>
    <n v="0"/>
    <n v="0"/>
    <n v="0"/>
    <n v="13"/>
    <n v="0"/>
    <n v="0"/>
    <n v="0"/>
    <n v="0"/>
    <n v="0"/>
    <n v="0"/>
    <n v="0"/>
    <n v="0"/>
    <n v="0"/>
    <n v="0"/>
    <n v="0"/>
    <n v="0"/>
    <n v="0"/>
    <n v="0"/>
    <n v="0"/>
    <n v="0"/>
    <n v="0"/>
    <n v="0"/>
    <n v="0"/>
  </r>
  <r>
    <x v="0"/>
    <s v="AAM-PHC/PHC"/>
    <x v="6"/>
    <s v="DURGA"/>
    <x v="0"/>
    <x v="12"/>
    <n v="0"/>
    <n v="0"/>
    <n v="0"/>
    <n v="0"/>
    <n v="0"/>
    <n v="123"/>
    <n v="12"/>
    <n v="12"/>
    <n v="0"/>
    <n v="3"/>
    <n v="2"/>
    <n v="20"/>
    <n v="2"/>
    <n v="0"/>
    <x v="0"/>
    <n v="0"/>
    <n v="0"/>
    <n v="21"/>
    <n v="0"/>
    <n v="0"/>
    <n v="0"/>
    <n v="0"/>
    <n v="0"/>
    <n v="0"/>
    <n v="0"/>
    <n v="40"/>
    <n v="0"/>
    <n v="0"/>
    <n v="0"/>
    <n v="0"/>
    <n v="0"/>
    <n v="0"/>
    <n v="0"/>
    <n v="0"/>
    <n v="0"/>
    <n v="0"/>
    <n v="0"/>
    <n v="0"/>
    <n v="0"/>
    <n v="0"/>
    <n v="0"/>
    <n v="0"/>
    <n v="0"/>
    <n v="0"/>
    <n v="0"/>
  </r>
  <r>
    <x v="0"/>
    <s v="AAM-PHC/PHC"/>
    <x v="7"/>
    <s v="HIRGANA"/>
    <x v="0"/>
    <x v="12"/>
    <n v="0"/>
    <n v="0"/>
    <n v="0"/>
    <n v="0"/>
    <n v="0"/>
    <n v="225"/>
    <n v="12"/>
    <n v="11"/>
    <n v="0"/>
    <n v="14"/>
    <n v="14"/>
    <n v="11"/>
    <n v="3"/>
    <n v="0"/>
    <x v="0"/>
    <n v="0"/>
    <n v="0"/>
    <n v="0"/>
    <n v="14"/>
    <n v="0"/>
    <n v="0"/>
    <n v="0"/>
    <n v="0"/>
    <n v="0"/>
    <n v="0"/>
    <n v="26"/>
    <n v="0"/>
    <n v="0"/>
    <n v="0"/>
    <n v="0"/>
    <n v="0"/>
    <n v="0"/>
    <n v="0"/>
    <n v="0"/>
    <n v="0"/>
    <n v="0"/>
    <n v="0"/>
    <n v="0"/>
    <n v="0"/>
    <n v="0"/>
    <n v="0"/>
    <n v="0"/>
    <n v="0"/>
    <n v="0"/>
    <n v="0"/>
  </r>
  <r>
    <x v="0"/>
    <s v="AAM-PHC/PHC"/>
    <x v="8"/>
    <s v="IDU"/>
    <x v="0"/>
    <x v="12"/>
    <n v="0"/>
    <n v="0"/>
    <n v="0"/>
    <n v="0"/>
    <n v="0"/>
    <n v="62"/>
    <n v="26"/>
    <n v="18"/>
    <n v="7"/>
    <n v="0"/>
    <n v="0"/>
    <n v="56"/>
    <n v="56"/>
    <n v="0"/>
    <x v="0"/>
    <n v="0"/>
    <n v="0"/>
    <n v="0"/>
    <n v="0"/>
    <n v="0"/>
    <n v="0"/>
    <n v="28"/>
    <n v="1"/>
    <n v="0"/>
    <n v="0"/>
    <n v="0"/>
    <n v="0"/>
    <n v="0"/>
    <n v="0"/>
    <n v="0"/>
    <n v="0"/>
    <n v="0"/>
    <n v="0"/>
    <n v="1"/>
    <n v="0"/>
    <n v="0"/>
    <n v="0"/>
    <n v="0"/>
    <n v="0"/>
    <n v="0"/>
    <n v="0"/>
    <n v="0"/>
    <n v="0"/>
    <n v="0"/>
    <n v="0"/>
  </r>
  <r>
    <x v="0"/>
    <s v="AAM-PHC/PHC"/>
    <x v="9"/>
    <s v="INNA"/>
    <x v="0"/>
    <x v="12"/>
    <n v="0"/>
    <n v="0"/>
    <n v="0"/>
    <n v="0"/>
    <n v="0"/>
    <n v="74"/>
    <n v="15"/>
    <n v="10"/>
    <n v="1"/>
    <n v="2"/>
    <n v="2"/>
    <n v="0"/>
    <n v="1"/>
    <n v="0"/>
    <x v="0"/>
    <n v="0"/>
    <n v="0"/>
    <n v="0"/>
    <n v="0"/>
    <n v="0"/>
    <n v="0"/>
    <n v="0"/>
    <n v="0"/>
    <n v="0"/>
    <n v="0"/>
    <n v="0"/>
    <n v="0"/>
    <n v="0"/>
    <n v="0"/>
    <n v="0"/>
    <n v="0"/>
    <n v="0"/>
    <n v="0"/>
    <n v="0"/>
    <n v="0"/>
    <n v="0"/>
    <n v="0"/>
    <n v="0"/>
    <n v="0"/>
    <n v="0"/>
    <n v="0"/>
    <n v="0"/>
    <n v="0"/>
    <n v="0"/>
    <n v="0"/>
  </r>
  <r>
    <x v="0"/>
    <s v="AAM-PHC/PHC"/>
    <x v="10"/>
    <s v="IRVATHOOR"/>
    <x v="0"/>
    <x v="12"/>
    <n v="0"/>
    <n v="0"/>
    <n v="0"/>
    <n v="0"/>
    <n v="0"/>
    <n v="1290"/>
    <n v="42"/>
    <n v="25"/>
    <n v="5"/>
    <n v="0"/>
    <n v="0"/>
    <n v="42"/>
    <n v="229"/>
    <n v="0"/>
    <x v="0"/>
    <n v="0"/>
    <n v="0"/>
    <n v="61"/>
    <n v="26"/>
    <n v="0"/>
    <n v="0"/>
    <n v="0"/>
    <n v="0"/>
    <n v="0"/>
    <n v="0"/>
    <n v="78"/>
    <n v="0"/>
    <n v="0"/>
    <n v="0"/>
    <n v="0"/>
    <n v="0"/>
    <n v="0"/>
    <n v="0"/>
    <n v="1"/>
    <n v="1"/>
    <n v="0"/>
    <n v="0"/>
    <n v="0"/>
    <n v="0"/>
    <n v="0"/>
    <n v="0"/>
    <n v="0"/>
    <n v="0"/>
    <n v="0"/>
    <n v="0"/>
  </r>
  <r>
    <x v="0"/>
    <s v="AAM-PHC/PHC"/>
    <x v="18"/>
    <s v="Karkala ESI Disp"/>
    <x v="0"/>
    <x v="12"/>
    <n v="0"/>
    <n v="0"/>
    <n v="0"/>
    <n v="0"/>
    <n v="0"/>
    <n v="0"/>
    <n v="0"/>
    <n v="0"/>
    <n v="0"/>
    <n v="0"/>
    <n v="0"/>
    <n v="0"/>
    <n v="0"/>
    <n v="0"/>
    <x v="0"/>
    <n v="0"/>
    <n v="0"/>
    <n v="0"/>
    <n v="0"/>
    <n v="0"/>
    <n v="0"/>
    <n v="0"/>
    <n v="0"/>
    <n v="0"/>
    <n v="0"/>
    <n v="0"/>
    <n v="0"/>
    <n v="0"/>
    <n v="0"/>
    <n v="0"/>
    <n v="0"/>
    <n v="0"/>
    <n v="0"/>
    <n v="0"/>
    <n v="0"/>
    <n v="0"/>
    <n v="0"/>
    <n v="0"/>
    <n v="0"/>
    <n v="0"/>
    <n v="0"/>
    <n v="0"/>
    <n v="0"/>
    <n v="0"/>
    <n v="0"/>
  </r>
  <r>
    <x v="0"/>
    <s v="AAM-PHC/PHC"/>
    <x v="14"/>
    <s v="KUKKUNDOOR"/>
    <x v="0"/>
    <x v="12"/>
    <n v="0"/>
    <n v="0"/>
    <n v="0"/>
    <n v="0"/>
    <n v="0"/>
    <n v="86"/>
    <n v="33"/>
    <n v="40"/>
    <n v="7"/>
    <n v="0"/>
    <n v="0"/>
    <n v="18"/>
    <n v="87"/>
    <n v="0"/>
    <x v="0"/>
    <n v="0"/>
    <n v="0"/>
    <n v="23"/>
    <n v="1"/>
    <n v="0"/>
    <n v="0"/>
    <n v="4"/>
    <n v="0"/>
    <n v="0"/>
    <n v="0"/>
    <n v="48"/>
    <n v="0"/>
    <n v="0"/>
    <n v="0"/>
    <n v="0"/>
    <n v="0"/>
    <n v="0"/>
    <n v="0"/>
    <n v="0"/>
    <n v="0"/>
    <n v="0"/>
    <n v="0"/>
    <n v="0"/>
    <n v="0"/>
    <n v="0"/>
    <n v="0"/>
    <n v="0"/>
    <n v="0"/>
    <n v="0"/>
    <n v="0"/>
  </r>
  <r>
    <x v="0"/>
    <s v="AAM-PHC/PHC"/>
    <x v="13"/>
    <s v="MALA"/>
    <x v="0"/>
    <x v="12"/>
    <n v="0"/>
    <n v="0"/>
    <n v="0"/>
    <n v="0"/>
    <n v="0"/>
    <n v="188"/>
    <n v="15"/>
    <n v="11"/>
    <n v="2"/>
    <n v="81"/>
    <n v="81"/>
    <n v="39"/>
    <n v="81"/>
    <n v="0"/>
    <x v="0"/>
    <n v="0"/>
    <n v="0"/>
    <n v="19"/>
    <n v="1"/>
    <n v="0"/>
    <n v="0"/>
    <n v="6"/>
    <n v="1"/>
    <n v="0"/>
    <n v="0"/>
    <n v="0"/>
    <n v="0"/>
    <n v="0"/>
    <n v="0"/>
    <n v="0"/>
    <n v="0"/>
    <n v="0"/>
    <n v="0"/>
    <n v="0"/>
    <n v="0"/>
    <n v="0"/>
    <n v="0"/>
    <n v="0"/>
    <n v="0"/>
    <n v="0"/>
    <n v="0"/>
    <n v="33"/>
    <n v="0"/>
    <n v="0"/>
    <n v="0"/>
  </r>
  <r>
    <x v="0"/>
    <s v="AAM-PHC/PHC"/>
    <x v="17"/>
    <s v="NANDALIKE"/>
    <x v="0"/>
    <x v="12"/>
    <n v="0"/>
    <n v="0"/>
    <n v="0"/>
    <n v="0"/>
    <n v="0"/>
    <n v="132"/>
    <n v="28"/>
    <n v="35"/>
    <n v="6"/>
    <n v="39"/>
    <n v="39"/>
    <n v="29"/>
    <n v="39"/>
    <n v="0"/>
    <x v="0"/>
    <n v="0"/>
    <n v="0"/>
    <n v="40"/>
    <n v="25"/>
    <n v="0"/>
    <n v="0"/>
    <n v="0"/>
    <n v="0"/>
    <n v="0"/>
    <n v="0"/>
    <n v="35"/>
    <n v="0"/>
    <n v="0"/>
    <n v="0"/>
    <n v="0"/>
    <n v="0"/>
    <n v="0"/>
    <n v="0"/>
    <n v="0"/>
    <n v="0"/>
    <n v="0"/>
    <n v="0"/>
    <n v="0"/>
    <n v="0"/>
    <n v="0"/>
    <n v="0"/>
    <n v="18"/>
    <n v="0"/>
    <n v="0"/>
    <n v="0"/>
  </r>
  <r>
    <x v="0"/>
    <s v="AAM-PHC/PHC"/>
    <x v="12"/>
    <s v="PALI"/>
    <x v="0"/>
    <x v="12"/>
    <n v="0"/>
    <n v="0"/>
    <n v="0"/>
    <n v="0"/>
    <n v="0"/>
    <n v="87"/>
    <n v="39"/>
    <n v="39"/>
    <n v="0"/>
    <n v="0"/>
    <n v="0"/>
    <n v="0"/>
    <n v="51"/>
    <n v="0"/>
    <x v="0"/>
    <n v="0"/>
    <n v="0"/>
    <n v="0"/>
    <n v="58"/>
    <n v="0"/>
    <n v="0"/>
    <n v="0"/>
    <n v="0"/>
    <n v="0"/>
    <n v="0"/>
    <n v="43"/>
    <n v="0"/>
    <n v="0"/>
    <n v="0"/>
    <n v="0"/>
    <n v="0"/>
    <n v="0"/>
    <n v="0"/>
    <n v="0"/>
    <n v="0"/>
    <n v="0"/>
    <n v="0"/>
    <n v="0"/>
    <n v="0"/>
    <n v="0"/>
    <n v="0"/>
    <n v="0"/>
    <n v="0"/>
    <n v="0"/>
    <n v="0"/>
  </r>
  <r>
    <x v="0"/>
    <s v="AAM-PHC/PHC"/>
    <x v="16"/>
    <s v="SACHERIPETE"/>
    <x v="0"/>
    <x v="12"/>
    <n v="0"/>
    <n v="0"/>
    <n v="0"/>
    <n v="0"/>
    <n v="0"/>
    <n v="293"/>
    <n v="27"/>
    <n v="25"/>
    <n v="8"/>
    <n v="0"/>
    <n v="0"/>
    <n v="15"/>
    <n v="87"/>
    <n v="0"/>
    <x v="0"/>
    <n v="0"/>
    <n v="0"/>
    <n v="168"/>
    <n v="71"/>
    <n v="0"/>
    <n v="0"/>
    <n v="4"/>
    <n v="0"/>
    <n v="0"/>
    <n v="0"/>
    <n v="52"/>
    <n v="0"/>
    <n v="0"/>
    <n v="0"/>
    <n v="0"/>
    <n v="0"/>
    <n v="0"/>
    <n v="0"/>
    <n v="0"/>
    <n v="0"/>
    <n v="0"/>
    <n v="0"/>
    <n v="0"/>
    <n v="0"/>
    <n v="0"/>
    <n v="0"/>
    <n v="0"/>
    <n v="0"/>
    <n v="0"/>
    <n v="0"/>
  </r>
  <r>
    <x v="0"/>
    <s v="Community Health Centre"/>
    <x v="5"/>
    <s v="NITTE"/>
    <x v="0"/>
    <x v="12"/>
    <n v="0"/>
    <n v="0"/>
    <n v="0"/>
    <n v="0"/>
    <n v="0"/>
    <n v="197"/>
    <n v="60"/>
    <n v="42"/>
    <n v="7"/>
    <n v="0"/>
    <n v="0"/>
    <n v="22"/>
    <n v="127"/>
    <n v="0"/>
    <x v="0"/>
    <n v="0"/>
    <n v="0"/>
    <n v="240"/>
    <n v="135"/>
    <n v="1"/>
    <n v="1"/>
    <n v="22"/>
    <n v="1"/>
    <n v="0"/>
    <n v="0"/>
    <n v="11"/>
    <n v="0"/>
    <n v="0"/>
    <n v="0"/>
    <n v="0"/>
    <n v="0"/>
    <n v="0"/>
    <n v="0"/>
    <n v="0"/>
    <n v="0"/>
    <n v="0"/>
    <n v="0"/>
    <n v="0"/>
    <n v="0"/>
    <n v="0"/>
    <n v="0"/>
    <n v="0"/>
    <n v="0"/>
    <n v="0"/>
    <n v="0"/>
  </r>
  <r>
    <x v="0"/>
    <s v="AAM-SC/SC"/>
    <x v="19"/>
    <s v="KARKALA -A"/>
    <x v="0"/>
    <x v="34"/>
    <n v="0"/>
    <n v="0"/>
    <n v="120"/>
    <n v="0"/>
    <n v="118"/>
    <n v="825"/>
    <n v="0"/>
    <n v="0"/>
    <n v="0"/>
    <n v="138"/>
    <n v="138"/>
    <n v="0"/>
    <n v="143"/>
    <n v="0"/>
    <x v="0"/>
    <n v="0"/>
    <n v="0"/>
    <n v="0"/>
    <n v="0"/>
    <n v="0"/>
    <n v="0"/>
    <n v="0"/>
    <n v="0"/>
    <n v="0"/>
    <n v="0"/>
    <n v="0"/>
    <n v="0"/>
    <n v="0"/>
    <n v="0"/>
    <n v="0"/>
    <n v="0"/>
    <n v="0"/>
    <n v="0"/>
    <n v="0"/>
    <n v="0"/>
    <n v="0"/>
    <n v="0"/>
    <n v="0"/>
    <n v="0"/>
    <n v="0"/>
    <n v="0"/>
    <n v="30"/>
    <n v="0"/>
    <n v="0"/>
    <n v="0"/>
  </r>
  <r>
    <x v="0"/>
    <s v="AAM-SC/SC"/>
    <x v="19"/>
    <s v="KARKALA -B"/>
    <x v="0"/>
    <x v="35"/>
    <n v="0"/>
    <n v="0"/>
    <n v="37"/>
    <n v="0"/>
    <n v="35"/>
    <n v="207"/>
    <n v="0"/>
    <n v="0"/>
    <n v="0"/>
    <n v="45"/>
    <n v="45"/>
    <n v="0"/>
    <n v="35"/>
    <n v="0"/>
    <x v="0"/>
    <n v="0"/>
    <n v="0"/>
    <n v="0"/>
    <n v="0"/>
    <n v="0"/>
    <n v="0"/>
    <n v="0"/>
    <n v="0"/>
    <n v="0"/>
    <n v="0"/>
    <n v="0"/>
    <n v="0"/>
    <n v="0"/>
    <n v="0"/>
    <n v="0"/>
    <n v="0"/>
    <n v="0"/>
    <n v="0"/>
    <n v="0"/>
    <n v="0"/>
    <n v="0"/>
    <n v="0"/>
    <n v="0"/>
    <n v="0"/>
    <n v="0"/>
    <n v="0"/>
    <n v="4"/>
    <n v="0"/>
    <n v="0"/>
    <n v="0"/>
  </r>
  <r>
    <x v="0"/>
    <s v="AAM-SC/SC"/>
    <x v="19"/>
    <s v="KARKALA -C"/>
    <x v="0"/>
    <x v="25"/>
    <n v="0"/>
    <n v="0"/>
    <n v="80"/>
    <n v="0"/>
    <n v="75"/>
    <n v="409"/>
    <n v="0"/>
    <n v="0"/>
    <n v="0"/>
    <n v="88"/>
    <n v="88"/>
    <n v="0"/>
    <n v="79"/>
    <n v="0"/>
    <x v="0"/>
    <n v="0"/>
    <n v="0"/>
    <n v="0"/>
    <n v="0"/>
    <n v="0"/>
    <n v="0"/>
    <n v="0"/>
    <n v="0"/>
    <n v="0"/>
    <n v="0"/>
    <n v="0"/>
    <n v="0"/>
    <n v="0"/>
    <n v="0"/>
    <n v="0"/>
    <n v="0"/>
    <n v="0"/>
    <n v="0"/>
    <n v="0"/>
    <n v="0"/>
    <n v="0"/>
    <n v="0"/>
    <n v="0"/>
    <n v="0"/>
    <n v="0"/>
    <n v="0"/>
    <n v="35"/>
    <n v="0"/>
    <n v="0"/>
    <n v="0"/>
  </r>
  <r>
    <x v="0"/>
    <s v="AAM-SC/SC"/>
    <x v="20"/>
    <s v="Namma Clinic Marinapura"/>
    <x v="0"/>
    <x v="12"/>
    <n v="0"/>
    <n v="0"/>
    <n v="0"/>
    <n v="0"/>
    <n v="0"/>
    <n v="22"/>
    <n v="10"/>
    <n v="12"/>
    <n v="0"/>
    <n v="0"/>
    <n v="0"/>
    <n v="0"/>
    <n v="0"/>
    <n v="0"/>
    <x v="0"/>
    <n v="0"/>
    <n v="0"/>
    <n v="0"/>
    <n v="0"/>
    <n v="0"/>
    <n v="0"/>
    <n v="0"/>
    <n v="0"/>
    <n v="0"/>
    <n v="0"/>
    <n v="0"/>
    <n v="0"/>
    <n v="0"/>
    <n v="0"/>
    <n v="0"/>
    <n v="0"/>
    <n v="0"/>
    <n v="0"/>
    <n v="0"/>
    <n v="0"/>
    <n v="0"/>
    <n v="0"/>
    <n v="0"/>
    <n v="0"/>
    <n v="0"/>
    <n v="0"/>
    <n v="0"/>
    <n v="0"/>
    <n v="0"/>
    <n v="0"/>
  </r>
  <r>
    <x v="0"/>
    <s v="AAM-PHC/PHC"/>
    <x v="21"/>
    <s v="GANESH CLINIC AND LABORTORY PVT HOSPITAL"/>
    <x v="1"/>
    <x v="12"/>
    <n v="0"/>
    <n v="0"/>
    <n v="0"/>
    <n v="0"/>
    <n v="0"/>
    <n v="0"/>
    <n v="0"/>
    <n v="0"/>
    <n v="0"/>
    <n v="0"/>
    <n v="0"/>
    <n v="0"/>
    <n v="0"/>
    <n v="0"/>
    <x v="0"/>
    <n v="0"/>
    <n v="0"/>
    <n v="0"/>
    <n v="0"/>
    <n v="0"/>
    <n v="0"/>
    <n v="0"/>
    <n v="0"/>
    <n v="0"/>
    <n v="0"/>
    <n v="0"/>
    <n v="0"/>
    <n v="0"/>
    <n v="0"/>
    <n v="0"/>
    <n v="0"/>
    <n v="0"/>
    <n v="0"/>
    <n v="0"/>
    <n v="0"/>
    <n v="0"/>
    <n v="0"/>
    <n v="0"/>
    <n v="0"/>
    <n v="0"/>
    <n v="0"/>
    <n v="0"/>
    <n v="0"/>
    <n v="0"/>
    <n v="0"/>
  </r>
  <r>
    <x v="0"/>
    <s v="Sub District Hospital"/>
    <x v="21"/>
    <s v="AMAR JYOTHI PVT HOSPITAL"/>
    <x v="1"/>
    <x v="12"/>
    <n v="0"/>
    <n v="0"/>
    <n v="0"/>
    <n v="0"/>
    <n v="0"/>
    <n v="229"/>
    <n v="117"/>
    <n v="112"/>
    <n v="0"/>
    <n v="0"/>
    <n v="0"/>
    <n v="0"/>
    <n v="0"/>
    <n v="0"/>
    <x v="0"/>
    <n v="0"/>
    <n v="0"/>
    <n v="0"/>
    <n v="0"/>
    <n v="0"/>
    <n v="0"/>
    <n v="31"/>
    <n v="16"/>
    <n v="0"/>
    <n v="16"/>
    <n v="179"/>
    <n v="0"/>
    <n v="0"/>
    <n v="0"/>
    <n v="0"/>
    <n v="0"/>
    <n v="0"/>
    <n v="0"/>
    <n v="0"/>
    <n v="0"/>
    <n v="0"/>
    <n v="0"/>
    <n v="0"/>
    <n v="0"/>
    <n v="0"/>
    <n v="0"/>
    <n v="0"/>
    <n v="0"/>
    <n v="0"/>
    <n v="0"/>
  </r>
  <r>
    <x v="0"/>
    <s v="Sub District Hospital"/>
    <x v="21"/>
    <s v="CITY NURSING PVT HOSPITAL"/>
    <x v="1"/>
    <x v="12"/>
    <n v="0"/>
    <n v="0"/>
    <n v="0"/>
    <n v="0"/>
    <n v="0"/>
    <n v="566"/>
    <n v="18"/>
    <n v="21"/>
    <n v="19"/>
    <n v="92"/>
    <n v="96"/>
    <n v="9"/>
    <n v="149"/>
    <n v="7"/>
    <x v="2"/>
    <n v="2"/>
    <n v="0"/>
    <n v="288"/>
    <n v="223"/>
    <n v="3"/>
    <n v="3"/>
    <n v="105"/>
    <n v="18"/>
    <n v="3"/>
    <n v="9"/>
    <n v="128"/>
    <n v="0"/>
    <n v="0"/>
    <n v="0"/>
    <n v="0"/>
    <n v="0"/>
    <n v="45"/>
    <n v="38"/>
    <n v="0"/>
    <n v="0"/>
    <n v="0"/>
    <n v="0"/>
    <n v="0"/>
    <n v="0"/>
    <n v="0"/>
    <n v="0"/>
    <n v="0"/>
    <n v="0"/>
    <n v="0"/>
    <n v="0"/>
  </r>
  <r>
    <x v="0"/>
    <s v="Sub District Hospital"/>
    <x v="21"/>
    <s v="DR. T.M.A.PAI ROTARY HOSPITAL  KARKALA Pvt Hospital"/>
    <x v="1"/>
    <x v="12"/>
    <n v="0"/>
    <n v="0"/>
    <n v="0"/>
    <n v="0"/>
    <n v="0"/>
    <n v="267"/>
    <n v="132"/>
    <n v="123"/>
    <n v="12"/>
    <n v="0"/>
    <n v="0"/>
    <n v="0"/>
    <n v="0"/>
    <n v="1"/>
    <x v="3"/>
    <n v="4"/>
    <n v="0"/>
    <n v="110"/>
    <n v="674"/>
    <n v="9"/>
    <n v="11"/>
    <n v="95"/>
    <n v="0"/>
    <n v="8"/>
    <n v="38"/>
    <n v="210"/>
    <n v="0"/>
    <n v="0"/>
    <n v="0"/>
    <n v="0"/>
    <n v="0"/>
    <n v="1"/>
    <n v="20"/>
    <n v="0"/>
    <n v="0"/>
    <n v="0"/>
    <n v="0"/>
    <n v="0"/>
    <n v="0"/>
    <n v="0"/>
    <n v="0"/>
    <n v="0"/>
    <n v="0"/>
    <n v="0"/>
    <n v="0"/>
  </r>
  <r>
    <x v="0"/>
    <s v="Sub District Hospital"/>
    <x v="19"/>
    <s v="FRU KARKALA TALUK HOSPITAL"/>
    <x v="0"/>
    <x v="18"/>
    <n v="0"/>
    <n v="2"/>
    <n v="23"/>
    <n v="0"/>
    <n v="17"/>
    <n v="3774"/>
    <n v="138"/>
    <n v="122"/>
    <n v="10"/>
    <n v="0"/>
    <n v="0"/>
    <n v="126"/>
    <n v="361"/>
    <n v="14"/>
    <x v="4"/>
    <n v="16"/>
    <n v="2"/>
    <n v="5"/>
    <n v="258"/>
    <n v="6"/>
    <n v="6"/>
    <n v="365"/>
    <n v="8"/>
    <n v="5"/>
    <n v="12"/>
    <n v="286"/>
    <n v="0"/>
    <n v="0"/>
    <n v="0"/>
    <n v="0"/>
    <n v="0"/>
    <n v="7"/>
    <n v="14"/>
    <n v="99"/>
    <n v="1"/>
    <n v="1"/>
    <n v="10"/>
    <n v="9"/>
    <n v="0"/>
    <n v="1"/>
    <n v="0"/>
    <n v="28"/>
    <n v="64"/>
    <n v="0"/>
    <n v="12"/>
  </r>
  <r>
    <x v="0"/>
    <s v="Sub District Hospital"/>
    <x v="21"/>
    <s v="KARKALA NURSING  PVT HOSPITAL"/>
    <x v="1"/>
    <x v="12"/>
    <n v="0"/>
    <n v="0"/>
    <n v="0"/>
    <n v="0"/>
    <n v="0"/>
    <n v="0"/>
    <n v="0"/>
    <n v="0"/>
    <n v="0"/>
    <n v="0"/>
    <n v="0"/>
    <n v="0"/>
    <n v="0"/>
    <n v="0"/>
    <x v="0"/>
    <n v="0"/>
    <n v="0"/>
    <n v="0"/>
    <n v="17"/>
    <n v="0"/>
    <n v="0"/>
    <n v="0"/>
    <n v="0"/>
    <n v="0"/>
    <n v="0"/>
    <n v="34"/>
    <n v="31"/>
    <n v="0"/>
    <n v="0"/>
    <n v="0"/>
    <n v="0"/>
    <n v="0"/>
    <n v="0"/>
    <n v="0"/>
    <n v="0"/>
    <n v="0"/>
    <n v="0"/>
    <n v="0"/>
    <n v="0"/>
    <n v="0"/>
    <n v="0"/>
    <n v="0"/>
    <n v="0"/>
    <n v="0"/>
    <n v="0"/>
  </r>
  <r>
    <x v="0"/>
    <s v="Sub District Hospital"/>
    <x v="21"/>
    <s v="&quot;NITTE GAJRIA SPECIALITY HOSPITAL  Pvt Hospital"/>
    <x v="1"/>
    <x v="12"/>
    <n v="0"/>
    <n v="0"/>
    <n v="0"/>
    <n v="0"/>
    <n v="0"/>
    <n v="1690"/>
    <n v="30"/>
    <n v="34"/>
    <n v="0"/>
    <n v="0"/>
    <n v="0"/>
    <n v="0"/>
    <n v="0"/>
    <n v="0"/>
    <x v="5"/>
    <n v="7"/>
    <n v="1"/>
    <n v="0"/>
    <n v="26"/>
    <n v="1"/>
    <n v="1"/>
    <n v="9"/>
    <n v="0"/>
    <n v="0"/>
    <n v="0"/>
    <n v="44"/>
    <n v="1"/>
    <n v="0"/>
    <n v="0"/>
    <n v="0"/>
    <n v="0"/>
    <n v="0"/>
    <n v="0"/>
    <n v="0"/>
    <n v="0"/>
    <n v="0"/>
    <n v="0"/>
    <n v="0"/>
    <n v="0"/>
    <n v="0"/>
    <n v="0"/>
    <n v="0"/>
    <n v="21"/>
    <n v="1"/>
    <n v="0"/>
  </r>
  <r>
    <x v="0"/>
    <s v="Sub District Hospital"/>
    <x v="21"/>
    <s v="SPANDANA MATERNITY PVT HOSPITAL"/>
    <x v="1"/>
    <x v="12"/>
    <n v="0"/>
    <n v="0"/>
    <n v="0"/>
    <n v="0"/>
    <n v="0"/>
    <n v="0"/>
    <n v="0"/>
    <n v="0"/>
    <n v="0"/>
    <n v="10"/>
    <n v="10"/>
    <n v="1"/>
    <n v="0"/>
    <n v="0"/>
    <x v="2"/>
    <n v="4"/>
    <n v="0"/>
    <n v="0"/>
    <n v="0"/>
    <n v="0"/>
    <n v="0"/>
    <n v="5"/>
    <n v="1"/>
    <n v="0"/>
    <n v="0"/>
    <n v="0"/>
    <n v="0"/>
    <n v="0"/>
    <n v="0"/>
    <n v="0"/>
    <n v="0"/>
    <n v="2"/>
    <n v="0"/>
    <n v="0"/>
    <n v="0"/>
    <n v="0"/>
    <n v="0"/>
    <n v="0"/>
    <n v="0"/>
    <n v="0"/>
    <n v="0"/>
    <n v="0"/>
    <n v="0"/>
    <n v="0"/>
    <n v="0"/>
  </r>
  <r>
    <x v="1"/>
    <s v="AAM-SC/SC"/>
    <x v="22"/>
    <s v="BADAKERI"/>
    <x v="0"/>
    <x v="6"/>
    <n v="0"/>
    <n v="0"/>
    <n v="20"/>
    <n v="0"/>
    <n v="19"/>
    <n v="112"/>
    <n v="0"/>
    <n v="3"/>
    <n v="0"/>
    <n v="22"/>
    <n v="22"/>
    <n v="17"/>
    <n v="0"/>
    <n v="0"/>
    <x v="0"/>
    <n v="0"/>
    <n v="0"/>
    <n v="0"/>
    <n v="0"/>
    <n v="0"/>
    <n v="0"/>
    <n v="0"/>
    <n v="0"/>
    <n v="0"/>
    <n v="0"/>
    <n v="0"/>
    <n v="0"/>
    <n v="0"/>
    <n v="0"/>
    <n v="0"/>
    <n v="0"/>
    <n v="0"/>
    <n v="0"/>
    <n v="42"/>
    <n v="0"/>
    <n v="0"/>
    <n v="0"/>
    <n v="0"/>
    <n v="0"/>
    <n v="0"/>
    <n v="0"/>
    <n v="9"/>
    <n v="0"/>
    <n v="0"/>
    <n v="0"/>
  </r>
  <r>
    <x v="1"/>
    <s v="AAM-SC/SC"/>
    <x v="23"/>
    <s v="BIJURU"/>
    <x v="0"/>
    <x v="36"/>
    <n v="0"/>
    <n v="0"/>
    <n v="83"/>
    <n v="0"/>
    <n v="82"/>
    <n v="409"/>
    <n v="22"/>
    <n v="26"/>
    <n v="5"/>
    <n v="52"/>
    <n v="58"/>
    <n v="26"/>
    <n v="0"/>
    <n v="0"/>
    <x v="0"/>
    <n v="0"/>
    <n v="0"/>
    <n v="3"/>
    <n v="0"/>
    <n v="0"/>
    <n v="0"/>
    <n v="0"/>
    <n v="0"/>
    <n v="0"/>
    <n v="0"/>
    <n v="0"/>
    <n v="0"/>
    <n v="0"/>
    <n v="0"/>
    <n v="0"/>
    <n v="0"/>
    <n v="0"/>
    <n v="0"/>
    <n v="0"/>
    <n v="0"/>
    <n v="0"/>
    <n v="0"/>
    <n v="0"/>
    <n v="0"/>
    <n v="0"/>
    <n v="0"/>
    <n v="23"/>
    <n v="0"/>
    <n v="0"/>
    <n v="0"/>
  </r>
  <r>
    <x v="1"/>
    <s v="AAM-SC/SC"/>
    <x v="23"/>
    <s v="BYNDOOR-A"/>
    <x v="0"/>
    <x v="35"/>
    <n v="0"/>
    <n v="0"/>
    <n v="35"/>
    <n v="0"/>
    <n v="36"/>
    <n v="176"/>
    <n v="7"/>
    <n v="3"/>
    <n v="1"/>
    <n v="27"/>
    <n v="27"/>
    <n v="12"/>
    <n v="0"/>
    <n v="0"/>
    <x v="0"/>
    <n v="0"/>
    <n v="0"/>
    <n v="0"/>
    <n v="0"/>
    <n v="0"/>
    <n v="0"/>
    <n v="0"/>
    <n v="0"/>
    <n v="0"/>
    <n v="0"/>
    <n v="0"/>
    <n v="0"/>
    <n v="0"/>
    <n v="0"/>
    <n v="0"/>
    <n v="0"/>
    <n v="0"/>
    <n v="0"/>
    <n v="1"/>
    <n v="0"/>
    <n v="0"/>
    <n v="0"/>
    <n v="0"/>
    <n v="0"/>
    <n v="0"/>
    <n v="0"/>
    <n v="3"/>
    <n v="0"/>
    <n v="0"/>
    <n v="0"/>
  </r>
  <r>
    <x v="1"/>
    <s v="AAM-SC/SC"/>
    <x v="23"/>
    <s v="BYNDOOR-B"/>
    <x v="0"/>
    <x v="20"/>
    <n v="0"/>
    <n v="0"/>
    <n v="18"/>
    <n v="0"/>
    <n v="18"/>
    <n v="67"/>
    <n v="6"/>
    <n v="4"/>
    <n v="2"/>
    <n v="9"/>
    <n v="9"/>
    <n v="2"/>
    <n v="0"/>
    <n v="0"/>
    <x v="0"/>
    <n v="0"/>
    <n v="0"/>
    <n v="0"/>
    <n v="0"/>
    <n v="0"/>
    <n v="0"/>
    <n v="0"/>
    <n v="0"/>
    <n v="0"/>
    <n v="0"/>
    <n v="0"/>
    <n v="0"/>
    <n v="0"/>
    <n v="0"/>
    <n v="0"/>
    <n v="0"/>
    <n v="0"/>
    <n v="0"/>
    <n v="0"/>
    <n v="0"/>
    <n v="0"/>
    <n v="0"/>
    <n v="0"/>
    <n v="0"/>
    <n v="0"/>
    <n v="0"/>
    <n v="2"/>
    <n v="0"/>
    <n v="0"/>
    <n v="0"/>
  </r>
  <r>
    <x v="1"/>
    <s v="AAM-SC/SC"/>
    <x v="24"/>
    <s v="GOLIHOLE"/>
    <x v="0"/>
    <x v="37"/>
    <n v="0"/>
    <n v="0"/>
    <n v="68"/>
    <n v="0"/>
    <n v="64"/>
    <n v="325"/>
    <n v="4"/>
    <n v="6"/>
    <n v="1"/>
    <n v="50"/>
    <n v="50"/>
    <n v="54"/>
    <n v="12"/>
    <n v="0"/>
    <x v="0"/>
    <n v="0"/>
    <n v="0"/>
    <n v="5"/>
    <n v="0"/>
    <n v="0"/>
    <n v="0"/>
    <n v="0"/>
    <n v="0"/>
    <n v="0"/>
    <n v="0"/>
    <n v="0"/>
    <n v="0"/>
    <n v="0"/>
    <n v="0"/>
    <n v="0"/>
    <n v="0"/>
    <n v="0"/>
    <n v="0"/>
    <n v="0"/>
    <n v="0"/>
    <n v="0"/>
    <n v="0"/>
    <n v="0"/>
    <n v="0"/>
    <n v="0"/>
    <n v="0"/>
    <n v="0"/>
    <n v="0"/>
    <n v="0"/>
    <n v="0"/>
  </r>
  <r>
    <x v="1"/>
    <s v="AAM-SC/SC"/>
    <x v="25"/>
    <s v="GUJJADI-A"/>
    <x v="0"/>
    <x v="38"/>
    <n v="0"/>
    <n v="0"/>
    <n v="37"/>
    <n v="7"/>
    <n v="29"/>
    <n v="216"/>
    <n v="10"/>
    <n v="11"/>
    <n v="1"/>
    <n v="37"/>
    <n v="37"/>
    <n v="41"/>
    <n v="0"/>
    <n v="0"/>
    <x v="0"/>
    <n v="0"/>
    <n v="0"/>
    <n v="0"/>
    <n v="0"/>
    <n v="0"/>
    <n v="0"/>
    <n v="0"/>
    <n v="0"/>
    <n v="0"/>
    <n v="0"/>
    <n v="0"/>
    <n v="0"/>
    <n v="0"/>
    <n v="0"/>
    <n v="0"/>
    <n v="0"/>
    <n v="0"/>
    <n v="0"/>
    <n v="0"/>
    <n v="0"/>
    <n v="0"/>
    <n v="0"/>
    <n v="0"/>
    <n v="0"/>
    <n v="0"/>
    <n v="0"/>
    <n v="17"/>
    <n v="0"/>
    <n v="0"/>
    <n v="0"/>
  </r>
  <r>
    <x v="1"/>
    <s v="AAM-SC/SC"/>
    <x v="25"/>
    <s v="GUJJADI-B"/>
    <x v="0"/>
    <x v="3"/>
    <n v="0"/>
    <n v="0"/>
    <n v="28"/>
    <n v="0"/>
    <n v="24"/>
    <n v="170"/>
    <n v="12"/>
    <n v="13"/>
    <n v="3"/>
    <n v="25"/>
    <n v="27"/>
    <n v="28"/>
    <n v="0"/>
    <n v="0"/>
    <x v="0"/>
    <n v="0"/>
    <n v="0"/>
    <n v="0"/>
    <n v="0"/>
    <n v="0"/>
    <n v="0"/>
    <n v="0"/>
    <n v="0"/>
    <n v="0"/>
    <n v="0"/>
    <n v="0"/>
    <n v="0"/>
    <n v="0"/>
    <n v="0"/>
    <n v="0"/>
    <n v="0"/>
    <n v="0"/>
    <n v="0"/>
    <n v="0"/>
    <n v="0"/>
    <n v="0"/>
    <n v="0"/>
    <n v="0"/>
    <n v="0"/>
    <n v="0"/>
    <n v="0"/>
    <n v="10"/>
    <n v="0"/>
    <n v="0"/>
    <n v="0"/>
  </r>
  <r>
    <x v="1"/>
    <s v="AAM-SC/SC"/>
    <x v="22"/>
    <s v="HADAVU"/>
    <x v="0"/>
    <x v="13"/>
    <n v="0"/>
    <n v="0"/>
    <n v="10"/>
    <n v="0"/>
    <n v="10"/>
    <n v="72"/>
    <n v="2"/>
    <n v="2"/>
    <n v="0"/>
    <n v="6"/>
    <n v="6"/>
    <n v="5"/>
    <n v="0"/>
    <n v="0"/>
    <x v="0"/>
    <n v="0"/>
    <n v="0"/>
    <n v="0"/>
    <n v="0"/>
    <n v="0"/>
    <n v="0"/>
    <n v="0"/>
    <n v="0"/>
    <n v="0"/>
    <n v="0"/>
    <n v="0"/>
    <n v="0"/>
    <n v="0"/>
    <n v="0"/>
    <n v="0"/>
    <n v="0"/>
    <n v="0"/>
    <n v="0"/>
    <n v="32"/>
    <n v="0"/>
    <n v="0"/>
    <n v="0"/>
    <n v="0"/>
    <n v="0"/>
    <n v="0"/>
    <n v="0"/>
    <n v="5"/>
    <n v="0"/>
    <n v="0"/>
    <n v="0"/>
  </r>
  <r>
    <x v="1"/>
    <s v="AAM-SC/SC"/>
    <x v="26"/>
    <s v="HALLIHOLE-A"/>
    <x v="0"/>
    <x v="11"/>
    <n v="0"/>
    <n v="0"/>
    <n v="16"/>
    <n v="0"/>
    <n v="16"/>
    <n v="93"/>
    <n v="5"/>
    <n v="3"/>
    <n v="0"/>
    <n v="20"/>
    <n v="20"/>
    <n v="15"/>
    <n v="0"/>
    <n v="0"/>
    <x v="0"/>
    <n v="0"/>
    <n v="0"/>
    <n v="0"/>
    <n v="0"/>
    <n v="0"/>
    <n v="0"/>
    <n v="0"/>
    <n v="0"/>
    <n v="0"/>
    <n v="0"/>
    <n v="0"/>
    <n v="0"/>
    <n v="0"/>
    <n v="0"/>
    <n v="0"/>
    <n v="0"/>
    <n v="0"/>
    <n v="0"/>
    <n v="0"/>
    <n v="0"/>
    <n v="0"/>
    <n v="0"/>
    <n v="0"/>
    <n v="0"/>
    <n v="0"/>
    <n v="0"/>
    <n v="7"/>
    <n v="0"/>
    <n v="0"/>
    <n v="0"/>
  </r>
  <r>
    <x v="1"/>
    <s v="AAM-SC/SC"/>
    <x v="26"/>
    <s v="HALLIHOLE-B"/>
    <x v="0"/>
    <x v="5"/>
    <n v="0"/>
    <n v="0"/>
    <n v="12"/>
    <n v="0"/>
    <n v="12"/>
    <n v="48"/>
    <n v="0"/>
    <n v="0"/>
    <n v="0"/>
    <n v="9"/>
    <n v="9"/>
    <n v="10"/>
    <n v="0"/>
    <n v="0"/>
    <x v="0"/>
    <n v="0"/>
    <n v="0"/>
    <n v="0"/>
    <n v="0"/>
    <n v="0"/>
    <n v="0"/>
    <n v="0"/>
    <n v="0"/>
    <n v="0"/>
    <n v="0"/>
    <n v="0"/>
    <n v="0"/>
    <n v="0"/>
    <n v="0"/>
    <n v="0"/>
    <n v="0"/>
    <n v="0"/>
    <n v="0"/>
    <n v="0"/>
    <n v="0"/>
    <n v="0"/>
    <n v="0"/>
    <n v="0"/>
    <n v="0"/>
    <n v="0"/>
    <n v="0"/>
    <n v="4"/>
    <n v="0"/>
    <n v="0"/>
    <n v="0"/>
  </r>
  <r>
    <x v="1"/>
    <s v="AAM-SC/SC"/>
    <x v="27"/>
    <s v="HERENJAL"/>
    <x v="0"/>
    <x v="19"/>
    <n v="0"/>
    <n v="0"/>
    <n v="18"/>
    <n v="0"/>
    <n v="19"/>
    <n v="116"/>
    <n v="2"/>
    <n v="2"/>
    <n v="1"/>
    <n v="11"/>
    <n v="11"/>
    <n v="15"/>
    <n v="0"/>
    <n v="0"/>
    <x v="0"/>
    <n v="0"/>
    <n v="0"/>
    <n v="0"/>
    <n v="0"/>
    <n v="0"/>
    <n v="0"/>
    <n v="0"/>
    <n v="0"/>
    <n v="0"/>
    <n v="0"/>
    <n v="0"/>
    <n v="0"/>
    <n v="0"/>
    <n v="0"/>
    <n v="0"/>
    <n v="0"/>
    <n v="0"/>
    <n v="0"/>
    <n v="2"/>
    <n v="0"/>
    <n v="0"/>
    <n v="0"/>
    <n v="0"/>
    <n v="0"/>
    <n v="0"/>
    <n v="0"/>
    <n v="6"/>
    <n v="0"/>
    <n v="0"/>
    <n v="0"/>
  </r>
  <r>
    <x v="1"/>
    <s v="AAM-SC/SC"/>
    <x v="27"/>
    <s v="HERURU"/>
    <x v="0"/>
    <x v="17"/>
    <n v="0"/>
    <n v="0"/>
    <n v="33"/>
    <n v="0"/>
    <n v="29"/>
    <n v="148"/>
    <n v="4"/>
    <n v="6"/>
    <n v="1"/>
    <n v="25"/>
    <n v="25"/>
    <n v="26"/>
    <n v="0"/>
    <n v="0"/>
    <x v="0"/>
    <n v="0"/>
    <n v="0"/>
    <n v="0"/>
    <n v="0"/>
    <n v="0"/>
    <n v="0"/>
    <n v="0"/>
    <n v="0"/>
    <n v="0"/>
    <n v="0"/>
    <n v="0"/>
    <n v="0"/>
    <n v="0"/>
    <n v="0"/>
    <n v="0"/>
    <n v="0"/>
    <n v="0"/>
    <n v="0"/>
    <n v="0"/>
    <n v="0"/>
    <n v="0"/>
    <n v="0"/>
    <n v="0"/>
    <n v="0"/>
    <n v="0"/>
    <n v="0"/>
    <n v="7"/>
    <n v="0"/>
    <n v="0"/>
    <n v="0"/>
  </r>
  <r>
    <x v="1"/>
    <s v="AAM-SC/SC"/>
    <x v="25"/>
    <s v="HOSADU"/>
    <x v="0"/>
    <x v="39"/>
    <n v="0"/>
    <n v="0"/>
    <n v="47"/>
    <n v="0"/>
    <n v="44"/>
    <n v="243"/>
    <n v="13"/>
    <n v="18"/>
    <n v="2"/>
    <n v="41"/>
    <n v="41"/>
    <n v="51"/>
    <n v="0"/>
    <n v="0"/>
    <x v="0"/>
    <n v="0"/>
    <n v="0"/>
    <n v="0"/>
    <n v="0"/>
    <n v="0"/>
    <n v="0"/>
    <n v="0"/>
    <n v="0"/>
    <n v="0"/>
    <n v="0"/>
    <n v="0"/>
    <n v="0"/>
    <n v="0"/>
    <n v="0"/>
    <n v="0"/>
    <n v="0"/>
    <n v="0"/>
    <n v="0"/>
    <n v="0"/>
    <n v="0"/>
    <n v="0"/>
    <n v="0"/>
    <n v="0"/>
    <n v="0"/>
    <n v="0"/>
    <n v="0"/>
    <n v="18"/>
    <n v="0"/>
    <n v="0"/>
    <n v="0"/>
  </r>
  <r>
    <x v="1"/>
    <s v="AAM-SC/SC"/>
    <x v="24"/>
    <s v="JADKAL"/>
    <x v="0"/>
    <x v="30"/>
    <n v="0"/>
    <n v="0"/>
    <n v="34"/>
    <n v="0"/>
    <n v="33"/>
    <n v="233"/>
    <n v="3"/>
    <n v="5"/>
    <n v="0"/>
    <n v="30"/>
    <n v="28"/>
    <n v="24"/>
    <n v="0"/>
    <n v="0"/>
    <x v="0"/>
    <n v="0"/>
    <n v="0"/>
    <n v="0"/>
    <n v="0"/>
    <n v="0"/>
    <n v="0"/>
    <n v="0"/>
    <n v="0"/>
    <n v="0"/>
    <n v="0"/>
    <n v="0"/>
    <n v="0"/>
    <n v="0"/>
    <n v="0"/>
    <n v="0"/>
    <n v="0"/>
    <n v="0"/>
    <n v="0"/>
    <n v="0"/>
    <n v="0"/>
    <n v="0"/>
    <n v="0"/>
    <n v="0"/>
    <n v="0"/>
    <n v="0"/>
    <n v="0"/>
    <n v="0"/>
    <n v="0"/>
    <n v="0"/>
    <n v="0"/>
  </r>
  <r>
    <x v="1"/>
    <s v="AAM-SC/SC"/>
    <x v="27"/>
    <s v="KALTHODU"/>
    <x v="0"/>
    <x v="14"/>
    <n v="0"/>
    <n v="0"/>
    <n v="45"/>
    <n v="0"/>
    <n v="44"/>
    <n v="237"/>
    <n v="5"/>
    <n v="5"/>
    <n v="0"/>
    <n v="22"/>
    <n v="22"/>
    <n v="19"/>
    <n v="0"/>
    <n v="0"/>
    <x v="0"/>
    <n v="0"/>
    <n v="0"/>
    <n v="0"/>
    <n v="0"/>
    <n v="0"/>
    <n v="0"/>
    <n v="0"/>
    <n v="0"/>
    <n v="0"/>
    <n v="0"/>
    <n v="0"/>
    <n v="0"/>
    <n v="0"/>
    <n v="0"/>
    <n v="0"/>
    <n v="0"/>
    <n v="0"/>
    <n v="0"/>
    <n v="0"/>
    <n v="0"/>
    <n v="0"/>
    <n v="0"/>
    <n v="0"/>
    <n v="0"/>
    <n v="0"/>
    <n v="0"/>
    <n v="12"/>
    <n v="0"/>
    <n v="0"/>
    <n v="0"/>
  </r>
  <r>
    <x v="1"/>
    <s v="AAM-SC/SC"/>
    <x v="26"/>
    <s v="KAMALASHELE"/>
    <x v="0"/>
    <x v="40"/>
    <n v="0"/>
    <n v="0"/>
    <n v="17"/>
    <n v="0"/>
    <n v="15"/>
    <n v="103"/>
    <n v="1"/>
    <n v="6"/>
    <n v="1"/>
    <n v="18"/>
    <n v="18"/>
    <n v="17"/>
    <n v="0"/>
    <n v="0"/>
    <x v="0"/>
    <n v="0"/>
    <n v="0"/>
    <n v="0"/>
    <n v="0"/>
    <n v="0"/>
    <n v="0"/>
    <n v="0"/>
    <n v="0"/>
    <n v="0"/>
    <n v="0"/>
    <n v="0"/>
    <n v="0"/>
    <n v="0"/>
    <n v="0"/>
    <n v="0"/>
    <n v="0"/>
    <n v="0"/>
    <n v="0"/>
    <n v="0"/>
    <n v="0"/>
    <n v="0"/>
    <n v="0"/>
    <n v="0"/>
    <n v="0"/>
    <n v="0"/>
    <n v="0"/>
    <n v="6"/>
    <n v="0"/>
    <n v="0"/>
    <n v="0"/>
  </r>
  <r>
    <x v="1"/>
    <s v="AAM-SC/SC"/>
    <x v="27"/>
    <s v="KAMBADAKONE"/>
    <x v="0"/>
    <x v="23"/>
    <n v="0"/>
    <n v="0"/>
    <n v="41"/>
    <n v="0"/>
    <n v="39"/>
    <n v="207"/>
    <n v="0"/>
    <n v="2"/>
    <n v="0"/>
    <n v="35"/>
    <n v="35"/>
    <n v="16"/>
    <n v="0"/>
    <n v="0"/>
    <x v="0"/>
    <n v="0"/>
    <n v="0"/>
    <n v="0"/>
    <n v="20"/>
    <n v="0"/>
    <n v="0"/>
    <n v="0"/>
    <n v="0"/>
    <n v="0"/>
    <n v="0"/>
    <n v="0"/>
    <n v="0"/>
    <n v="0"/>
    <n v="0"/>
    <n v="0"/>
    <n v="0"/>
    <n v="0"/>
    <n v="0"/>
    <n v="0"/>
    <n v="0"/>
    <n v="0"/>
    <n v="0"/>
    <n v="0"/>
    <n v="0"/>
    <n v="0"/>
    <n v="0"/>
    <n v="22"/>
    <n v="0"/>
    <n v="0"/>
    <n v="0"/>
  </r>
  <r>
    <x v="1"/>
    <s v="AAM-SC/SC"/>
    <x v="27"/>
    <s v="KERGAL"/>
    <x v="0"/>
    <x v="41"/>
    <n v="0"/>
    <n v="0"/>
    <n v="48"/>
    <n v="0"/>
    <n v="47"/>
    <n v="282"/>
    <n v="10"/>
    <n v="11"/>
    <n v="0"/>
    <n v="48"/>
    <n v="48"/>
    <n v="22"/>
    <n v="3"/>
    <n v="0"/>
    <x v="0"/>
    <n v="0"/>
    <n v="0"/>
    <n v="0"/>
    <n v="0"/>
    <n v="0"/>
    <n v="0"/>
    <n v="0"/>
    <n v="0"/>
    <n v="0"/>
    <n v="0"/>
    <n v="0"/>
    <n v="0"/>
    <n v="0"/>
    <n v="0"/>
    <n v="0"/>
    <n v="0"/>
    <n v="0"/>
    <n v="0"/>
    <n v="0"/>
    <n v="0"/>
    <n v="0"/>
    <n v="0"/>
    <n v="0"/>
    <n v="0"/>
    <n v="0"/>
    <n v="0"/>
    <n v="8"/>
    <n v="0"/>
    <n v="0"/>
    <n v="0"/>
  </r>
  <r>
    <x v="1"/>
    <s v="AAM-SC/SC"/>
    <x v="27"/>
    <s v="KIRIMANJESWARA-A"/>
    <x v="0"/>
    <x v="42"/>
    <n v="0"/>
    <n v="0"/>
    <n v="32"/>
    <n v="0"/>
    <n v="31"/>
    <n v="125"/>
    <n v="0"/>
    <n v="0"/>
    <n v="0"/>
    <n v="21"/>
    <n v="21"/>
    <n v="11"/>
    <n v="0"/>
    <n v="0"/>
    <x v="0"/>
    <n v="0"/>
    <n v="0"/>
    <n v="0"/>
    <n v="0"/>
    <n v="0"/>
    <n v="0"/>
    <n v="0"/>
    <n v="0"/>
    <n v="0"/>
    <n v="0"/>
    <n v="0"/>
    <n v="0"/>
    <n v="0"/>
    <n v="0"/>
    <n v="0"/>
    <n v="0"/>
    <n v="0"/>
    <n v="0"/>
    <n v="0"/>
    <n v="0"/>
    <n v="0"/>
    <n v="0"/>
    <n v="0"/>
    <n v="0"/>
    <n v="0"/>
    <n v="0"/>
    <n v="7"/>
    <n v="0"/>
    <n v="0"/>
    <n v="0"/>
  </r>
  <r>
    <x v="1"/>
    <s v="AAM-SC/SC"/>
    <x v="27"/>
    <s v="KIRIMANJESWARA - B"/>
    <x v="0"/>
    <x v="33"/>
    <n v="0"/>
    <n v="0"/>
    <n v="53"/>
    <n v="0"/>
    <n v="52"/>
    <n v="335"/>
    <n v="4"/>
    <n v="5"/>
    <n v="0"/>
    <n v="55"/>
    <n v="55"/>
    <n v="26"/>
    <n v="0"/>
    <n v="0"/>
    <x v="0"/>
    <n v="0"/>
    <n v="0"/>
    <n v="0"/>
    <n v="0"/>
    <n v="0"/>
    <n v="0"/>
    <n v="0"/>
    <n v="0"/>
    <n v="0"/>
    <n v="0"/>
    <n v="0"/>
    <n v="0"/>
    <n v="0"/>
    <n v="0"/>
    <n v="0"/>
    <n v="0"/>
    <n v="0"/>
    <n v="0"/>
    <n v="1"/>
    <n v="0"/>
    <n v="0"/>
    <n v="0"/>
    <n v="0"/>
    <n v="0"/>
    <n v="0"/>
    <n v="0"/>
    <n v="29"/>
    <n v="0"/>
    <n v="0"/>
    <n v="0"/>
  </r>
  <r>
    <x v="1"/>
    <s v="AAM-SC/SC"/>
    <x v="24"/>
    <s v="KOLLUR-A"/>
    <x v="0"/>
    <x v="30"/>
    <n v="0"/>
    <n v="0"/>
    <n v="33"/>
    <n v="0"/>
    <n v="31"/>
    <n v="161"/>
    <n v="0"/>
    <n v="0"/>
    <n v="0"/>
    <n v="27"/>
    <n v="27"/>
    <n v="25"/>
    <n v="0"/>
    <n v="0"/>
    <x v="0"/>
    <n v="0"/>
    <n v="0"/>
    <n v="4"/>
    <n v="0"/>
    <n v="0"/>
    <n v="0"/>
    <n v="0"/>
    <n v="0"/>
    <n v="0"/>
    <n v="0"/>
    <n v="0"/>
    <n v="0"/>
    <n v="0"/>
    <n v="0"/>
    <n v="0"/>
    <n v="0"/>
    <n v="0"/>
    <n v="0"/>
    <n v="0"/>
    <n v="0"/>
    <n v="0"/>
    <n v="0"/>
    <n v="0"/>
    <n v="0"/>
    <n v="0"/>
    <n v="0"/>
    <n v="0"/>
    <n v="0"/>
    <n v="0"/>
    <n v="0"/>
  </r>
  <r>
    <x v="1"/>
    <s v="AAM-SC/SC"/>
    <x v="24"/>
    <s v="KOLLUR-B"/>
    <x v="0"/>
    <x v="16"/>
    <n v="0"/>
    <n v="0"/>
    <n v="22"/>
    <n v="0"/>
    <n v="21"/>
    <n v="133"/>
    <n v="0"/>
    <n v="0"/>
    <n v="0"/>
    <n v="19"/>
    <n v="19"/>
    <n v="22"/>
    <n v="0"/>
    <n v="0"/>
    <x v="0"/>
    <n v="0"/>
    <n v="0"/>
    <n v="0"/>
    <n v="0"/>
    <n v="0"/>
    <n v="0"/>
    <n v="0"/>
    <n v="0"/>
    <n v="0"/>
    <n v="0"/>
    <n v="0"/>
    <n v="0"/>
    <n v="0"/>
    <n v="0"/>
    <n v="0"/>
    <n v="0"/>
    <n v="0"/>
    <n v="0"/>
    <n v="0"/>
    <n v="0"/>
    <n v="0"/>
    <n v="0"/>
    <n v="0"/>
    <n v="0"/>
    <n v="0"/>
    <n v="0"/>
    <n v="0"/>
    <n v="0"/>
    <n v="0"/>
    <n v="0"/>
  </r>
  <r>
    <x v="1"/>
    <s v="AAM-SC/SC"/>
    <x v="25"/>
    <s v="MARVANTE"/>
    <x v="0"/>
    <x v="43"/>
    <n v="0"/>
    <n v="0"/>
    <n v="57"/>
    <n v="0"/>
    <n v="56"/>
    <n v="395"/>
    <n v="0"/>
    <n v="0"/>
    <n v="0"/>
    <n v="45"/>
    <n v="45"/>
    <n v="51"/>
    <n v="0"/>
    <n v="0"/>
    <x v="0"/>
    <n v="0"/>
    <n v="0"/>
    <n v="0"/>
    <n v="0"/>
    <n v="0"/>
    <n v="0"/>
    <n v="0"/>
    <n v="0"/>
    <n v="0"/>
    <n v="0"/>
    <n v="0"/>
    <n v="0"/>
    <n v="0"/>
    <n v="0"/>
    <n v="0"/>
    <n v="0"/>
    <n v="0"/>
    <n v="0"/>
    <n v="0"/>
    <n v="0"/>
    <n v="0"/>
    <n v="0"/>
    <n v="0"/>
    <n v="0"/>
    <n v="0"/>
    <n v="0"/>
    <n v="20"/>
    <n v="0"/>
    <n v="0"/>
    <n v="0"/>
  </r>
  <r>
    <x v="1"/>
    <s v="AAM-SC/SC"/>
    <x v="24"/>
    <s v="MUDDURU"/>
    <x v="0"/>
    <x v="32"/>
    <n v="0"/>
    <n v="0"/>
    <n v="31"/>
    <n v="0"/>
    <n v="27"/>
    <n v="171"/>
    <n v="4"/>
    <n v="2"/>
    <n v="2"/>
    <n v="30"/>
    <n v="28"/>
    <n v="30"/>
    <n v="0"/>
    <n v="0"/>
    <x v="0"/>
    <n v="0"/>
    <n v="0"/>
    <n v="0"/>
    <n v="0"/>
    <n v="0"/>
    <n v="0"/>
    <n v="0"/>
    <n v="0"/>
    <n v="0"/>
    <n v="0"/>
    <n v="0"/>
    <n v="0"/>
    <n v="0"/>
    <n v="0"/>
    <n v="0"/>
    <n v="0"/>
    <n v="0"/>
    <n v="0"/>
    <n v="0"/>
    <n v="0"/>
    <n v="0"/>
    <n v="0"/>
    <n v="0"/>
    <n v="0"/>
    <n v="0"/>
    <n v="0"/>
    <n v="0"/>
    <n v="0"/>
    <n v="0"/>
    <n v="0"/>
  </r>
  <r>
    <x v="1"/>
    <s v="AAM-SC/SC"/>
    <x v="22"/>
    <s v="NADA-A"/>
    <x v="0"/>
    <x v="44"/>
    <n v="0"/>
    <n v="0"/>
    <n v="14"/>
    <n v="0"/>
    <n v="13"/>
    <n v="69"/>
    <n v="0"/>
    <n v="0"/>
    <n v="0"/>
    <n v="8"/>
    <n v="8"/>
    <n v="10"/>
    <n v="0"/>
    <n v="0"/>
    <x v="0"/>
    <n v="0"/>
    <n v="0"/>
    <n v="0"/>
    <n v="0"/>
    <n v="0"/>
    <n v="0"/>
    <n v="0"/>
    <n v="0"/>
    <n v="0"/>
    <n v="0"/>
    <n v="0"/>
    <n v="0"/>
    <n v="0"/>
    <n v="0"/>
    <n v="0"/>
    <n v="0"/>
    <n v="0"/>
    <n v="0"/>
    <n v="40"/>
    <n v="0"/>
    <n v="0"/>
    <n v="0"/>
    <n v="0"/>
    <n v="0"/>
    <n v="0"/>
    <n v="0"/>
    <n v="5"/>
    <n v="0"/>
    <n v="0"/>
    <n v="0"/>
  </r>
  <r>
    <x v="1"/>
    <s v="AAM-SC/SC"/>
    <x v="22"/>
    <s v="NADA-B"/>
    <x v="0"/>
    <x v="45"/>
    <n v="0"/>
    <n v="0"/>
    <n v="27"/>
    <n v="0"/>
    <n v="25"/>
    <n v="130"/>
    <n v="0"/>
    <n v="0"/>
    <n v="0"/>
    <n v="18"/>
    <n v="18"/>
    <n v="22"/>
    <n v="0"/>
    <n v="0"/>
    <x v="0"/>
    <n v="0"/>
    <n v="0"/>
    <n v="0"/>
    <n v="0"/>
    <n v="0"/>
    <n v="0"/>
    <n v="0"/>
    <n v="0"/>
    <n v="0"/>
    <n v="0"/>
    <n v="0"/>
    <n v="0"/>
    <n v="0"/>
    <n v="0"/>
    <n v="0"/>
    <n v="0"/>
    <n v="0"/>
    <n v="0"/>
    <n v="67"/>
    <n v="0"/>
    <n v="0"/>
    <n v="0"/>
    <n v="0"/>
    <n v="0"/>
    <n v="0"/>
    <n v="0"/>
    <n v="10"/>
    <n v="0"/>
    <n v="0"/>
    <n v="0"/>
  </r>
  <r>
    <x v="1"/>
    <s v="AAM-SC/SC"/>
    <x v="25"/>
    <s v="NAVUND-A"/>
    <x v="0"/>
    <x v="36"/>
    <n v="0"/>
    <n v="0"/>
    <n v="83"/>
    <n v="0"/>
    <n v="79"/>
    <n v="499"/>
    <n v="13"/>
    <n v="9"/>
    <n v="3"/>
    <n v="79"/>
    <n v="79"/>
    <n v="80"/>
    <n v="0"/>
    <n v="0"/>
    <x v="0"/>
    <n v="0"/>
    <n v="0"/>
    <n v="0"/>
    <n v="0"/>
    <n v="0"/>
    <n v="0"/>
    <n v="0"/>
    <n v="0"/>
    <n v="0"/>
    <n v="0"/>
    <n v="0"/>
    <n v="0"/>
    <n v="0"/>
    <n v="0"/>
    <n v="0"/>
    <n v="0"/>
    <n v="0"/>
    <n v="0"/>
    <n v="0"/>
    <n v="0"/>
    <n v="0"/>
    <n v="0"/>
    <n v="0"/>
    <n v="0"/>
    <n v="0"/>
    <n v="0"/>
    <n v="29"/>
    <n v="0"/>
    <n v="0"/>
    <n v="0"/>
  </r>
  <r>
    <x v="1"/>
    <s v="AAM-SC/SC"/>
    <x v="28"/>
    <s v="PADUVARI"/>
    <x v="0"/>
    <x v="38"/>
    <n v="0"/>
    <n v="0"/>
    <n v="44"/>
    <n v="0"/>
    <n v="35"/>
    <n v="206"/>
    <n v="1"/>
    <n v="1"/>
    <n v="0"/>
    <n v="40"/>
    <n v="40"/>
    <n v="0"/>
    <n v="0"/>
    <n v="0"/>
    <x v="0"/>
    <n v="0"/>
    <n v="0"/>
    <n v="0"/>
    <n v="0"/>
    <n v="0"/>
    <n v="0"/>
    <n v="0"/>
    <n v="0"/>
    <n v="0"/>
    <n v="0"/>
    <n v="0"/>
    <n v="0"/>
    <n v="0"/>
    <n v="0"/>
    <n v="0"/>
    <n v="0"/>
    <n v="0"/>
    <n v="0"/>
    <n v="0"/>
    <n v="0"/>
    <n v="0"/>
    <n v="0"/>
    <n v="0"/>
    <n v="0"/>
    <n v="0"/>
    <n v="0"/>
    <n v="1"/>
    <n v="0"/>
    <n v="0"/>
    <n v="0"/>
  </r>
  <r>
    <x v="1"/>
    <s v="AAM-SC/SC"/>
    <x v="22"/>
    <s v="SENAPUR"/>
    <x v="0"/>
    <x v="40"/>
    <n v="0"/>
    <n v="0"/>
    <n v="17"/>
    <n v="0"/>
    <n v="17"/>
    <n v="110"/>
    <n v="1"/>
    <n v="1"/>
    <n v="0"/>
    <n v="20"/>
    <n v="20"/>
    <n v="11"/>
    <n v="0"/>
    <n v="0"/>
    <x v="0"/>
    <n v="0"/>
    <n v="0"/>
    <n v="0"/>
    <n v="0"/>
    <n v="0"/>
    <n v="0"/>
    <n v="0"/>
    <n v="0"/>
    <n v="0"/>
    <n v="0"/>
    <n v="0"/>
    <n v="0"/>
    <n v="0"/>
    <n v="0"/>
    <n v="0"/>
    <n v="0"/>
    <n v="0"/>
    <n v="0"/>
    <n v="55"/>
    <n v="1"/>
    <n v="1"/>
    <n v="0"/>
    <n v="0"/>
    <n v="0"/>
    <n v="0"/>
    <n v="0"/>
    <n v="2"/>
    <n v="0"/>
    <n v="0"/>
    <n v="0"/>
  </r>
  <r>
    <x v="1"/>
    <s v="AAM-SC/SC"/>
    <x v="28"/>
    <s v="SHIROOR-A"/>
    <x v="0"/>
    <x v="46"/>
    <n v="0"/>
    <n v="0"/>
    <n v="174"/>
    <n v="0"/>
    <n v="164"/>
    <n v="636"/>
    <n v="0"/>
    <n v="0"/>
    <n v="0"/>
    <n v="2"/>
    <n v="2"/>
    <n v="0"/>
    <n v="0"/>
    <n v="0"/>
    <x v="0"/>
    <n v="0"/>
    <n v="0"/>
    <n v="0"/>
    <n v="0"/>
    <n v="0"/>
    <n v="0"/>
    <n v="0"/>
    <n v="0"/>
    <n v="0"/>
    <n v="0"/>
    <n v="0"/>
    <n v="0"/>
    <n v="0"/>
    <n v="0"/>
    <n v="0"/>
    <n v="0"/>
    <n v="0"/>
    <n v="0"/>
    <n v="0"/>
    <n v="0"/>
    <n v="0"/>
    <n v="0"/>
    <n v="0"/>
    <n v="0"/>
    <n v="0"/>
    <n v="0"/>
    <n v="50"/>
    <n v="0"/>
    <n v="0"/>
    <n v="0"/>
  </r>
  <r>
    <x v="1"/>
    <s v="AAM-SC/SC"/>
    <x v="28"/>
    <s v="SHIROOR-B"/>
    <x v="0"/>
    <x v="47"/>
    <n v="0"/>
    <n v="0"/>
    <n v="100"/>
    <n v="0"/>
    <n v="98"/>
    <n v="495"/>
    <n v="24"/>
    <n v="22"/>
    <n v="7"/>
    <n v="105"/>
    <n v="105"/>
    <n v="2"/>
    <n v="0"/>
    <n v="0"/>
    <x v="0"/>
    <n v="0"/>
    <n v="0"/>
    <n v="0"/>
    <n v="0"/>
    <n v="0"/>
    <n v="0"/>
    <n v="0"/>
    <n v="0"/>
    <n v="0"/>
    <n v="0"/>
    <n v="0"/>
    <n v="0"/>
    <n v="0"/>
    <n v="0"/>
    <n v="0"/>
    <n v="0"/>
    <n v="0"/>
    <n v="0"/>
    <n v="0"/>
    <n v="0"/>
    <n v="0"/>
    <n v="0"/>
    <n v="0"/>
    <n v="0"/>
    <n v="0"/>
    <n v="0"/>
    <n v="53"/>
    <n v="0"/>
    <n v="0"/>
    <n v="0"/>
  </r>
  <r>
    <x v="1"/>
    <s v="AAM-SC/SC"/>
    <x v="23"/>
    <s v="TEGGARSE"/>
    <x v="0"/>
    <x v="23"/>
    <n v="0"/>
    <n v="0"/>
    <n v="41"/>
    <n v="0"/>
    <n v="41"/>
    <n v="163"/>
    <n v="3"/>
    <n v="6"/>
    <n v="1"/>
    <n v="14"/>
    <n v="14"/>
    <n v="14"/>
    <n v="0"/>
    <n v="0"/>
    <x v="0"/>
    <n v="0"/>
    <n v="0"/>
    <n v="0"/>
    <n v="0"/>
    <n v="0"/>
    <n v="0"/>
    <n v="0"/>
    <n v="0"/>
    <n v="0"/>
    <n v="0"/>
    <n v="0"/>
    <n v="0"/>
    <n v="0"/>
    <n v="0"/>
    <n v="0"/>
    <n v="0"/>
    <n v="0"/>
    <n v="0"/>
    <n v="1"/>
    <n v="0"/>
    <n v="0"/>
    <n v="0"/>
    <n v="0"/>
    <n v="0"/>
    <n v="0"/>
    <n v="0"/>
    <n v="11"/>
    <n v="0"/>
    <n v="0"/>
    <n v="0"/>
  </r>
  <r>
    <x v="1"/>
    <s v="AAM-SC/SC"/>
    <x v="25"/>
    <s v="TRASI"/>
    <x v="0"/>
    <x v="17"/>
    <n v="0"/>
    <n v="0"/>
    <n v="33"/>
    <n v="0"/>
    <n v="32"/>
    <n v="129"/>
    <n v="7"/>
    <n v="5"/>
    <n v="1"/>
    <n v="22"/>
    <n v="22"/>
    <n v="36"/>
    <n v="0"/>
    <n v="0"/>
    <x v="0"/>
    <n v="0"/>
    <n v="0"/>
    <n v="0"/>
    <n v="0"/>
    <n v="0"/>
    <n v="0"/>
    <n v="0"/>
    <n v="0"/>
    <n v="0"/>
    <n v="0"/>
    <n v="0"/>
    <n v="0"/>
    <n v="0"/>
    <n v="0"/>
    <n v="0"/>
    <n v="0"/>
    <n v="0"/>
    <n v="0"/>
    <n v="0"/>
    <n v="0"/>
    <n v="0"/>
    <n v="0"/>
    <n v="0"/>
    <n v="0"/>
    <n v="0"/>
    <n v="0"/>
    <n v="6"/>
    <n v="0"/>
    <n v="0"/>
    <n v="0"/>
  </r>
  <r>
    <x v="1"/>
    <s v="AAM-SC/SC"/>
    <x v="27"/>
    <s v="ULLURU-11"/>
    <x v="0"/>
    <x v="15"/>
    <n v="0"/>
    <n v="0"/>
    <n v="30"/>
    <n v="0"/>
    <n v="24"/>
    <n v="149"/>
    <n v="1"/>
    <n v="2"/>
    <n v="0"/>
    <n v="23"/>
    <n v="23"/>
    <n v="27"/>
    <n v="0"/>
    <n v="0"/>
    <x v="0"/>
    <n v="0"/>
    <n v="0"/>
    <n v="0"/>
    <n v="0"/>
    <n v="0"/>
    <n v="0"/>
    <n v="0"/>
    <n v="0"/>
    <n v="0"/>
    <n v="0"/>
    <n v="0"/>
    <n v="0"/>
    <n v="0"/>
    <n v="0"/>
    <n v="0"/>
    <n v="0"/>
    <n v="0"/>
    <n v="0"/>
    <n v="0"/>
    <n v="0"/>
    <n v="0"/>
    <n v="0"/>
    <n v="0"/>
    <n v="0"/>
    <n v="0"/>
    <n v="0"/>
    <n v="10"/>
    <n v="0"/>
    <n v="0"/>
    <n v="0"/>
  </r>
  <r>
    <x v="1"/>
    <s v="AAM-SC/SC"/>
    <x v="23"/>
    <s v="UPBANDA-A"/>
    <x v="0"/>
    <x v="48"/>
    <n v="0"/>
    <n v="0"/>
    <n v="66"/>
    <n v="0"/>
    <n v="64"/>
    <n v="406"/>
    <n v="5"/>
    <n v="12"/>
    <n v="1"/>
    <n v="53"/>
    <n v="49"/>
    <n v="34"/>
    <n v="0"/>
    <n v="0"/>
    <x v="0"/>
    <n v="0"/>
    <n v="0"/>
    <n v="5"/>
    <n v="1"/>
    <n v="0"/>
    <n v="0"/>
    <n v="0"/>
    <n v="0"/>
    <n v="0"/>
    <n v="0"/>
    <n v="0"/>
    <n v="0"/>
    <n v="0"/>
    <n v="0"/>
    <n v="0"/>
    <n v="0"/>
    <n v="0"/>
    <n v="0"/>
    <n v="0"/>
    <n v="0"/>
    <n v="0"/>
    <n v="0"/>
    <n v="0"/>
    <n v="0"/>
    <n v="0"/>
    <n v="0"/>
    <n v="19"/>
    <n v="0"/>
    <n v="0"/>
    <n v="0"/>
  </r>
  <r>
    <x v="1"/>
    <s v="AAM-SC/SC"/>
    <x v="23"/>
    <s v="UPBANDA-B"/>
    <x v="0"/>
    <x v="33"/>
    <n v="0"/>
    <n v="0"/>
    <n v="53"/>
    <n v="0"/>
    <n v="53"/>
    <n v="293"/>
    <n v="9"/>
    <n v="9"/>
    <n v="2"/>
    <n v="47"/>
    <n v="43"/>
    <n v="43"/>
    <n v="0"/>
    <n v="0"/>
    <x v="0"/>
    <n v="0"/>
    <n v="0"/>
    <n v="2"/>
    <n v="0"/>
    <n v="0"/>
    <n v="0"/>
    <n v="0"/>
    <n v="0"/>
    <n v="0"/>
    <n v="0"/>
    <n v="0"/>
    <n v="0"/>
    <n v="0"/>
    <n v="0"/>
    <n v="0"/>
    <n v="0"/>
    <n v="0"/>
    <n v="0"/>
    <n v="0"/>
    <n v="0"/>
    <n v="0"/>
    <n v="0"/>
    <n v="0"/>
    <n v="0"/>
    <n v="0"/>
    <n v="0"/>
    <n v="13"/>
    <n v="0"/>
    <n v="0"/>
    <n v="0"/>
  </r>
  <r>
    <x v="1"/>
    <s v="AAM-SC/SC"/>
    <x v="23"/>
    <s v="YDATHARE-A"/>
    <x v="0"/>
    <x v="48"/>
    <n v="0"/>
    <n v="0"/>
    <n v="66"/>
    <n v="0"/>
    <n v="65"/>
    <n v="281"/>
    <n v="0"/>
    <n v="0"/>
    <n v="0"/>
    <n v="50"/>
    <n v="50"/>
    <n v="22"/>
    <n v="0"/>
    <n v="0"/>
    <x v="0"/>
    <n v="0"/>
    <n v="0"/>
    <n v="0"/>
    <n v="0"/>
    <n v="0"/>
    <n v="0"/>
    <n v="0"/>
    <n v="0"/>
    <n v="0"/>
    <n v="0"/>
    <n v="0"/>
    <n v="0"/>
    <n v="0"/>
    <n v="0"/>
    <n v="0"/>
    <n v="0"/>
    <n v="0"/>
    <n v="0"/>
    <n v="0"/>
    <n v="0"/>
    <n v="0"/>
    <n v="0"/>
    <n v="0"/>
    <n v="0"/>
    <n v="0"/>
    <n v="0"/>
    <n v="19"/>
    <n v="0"/>
    <n v="0"/>
    <n v="0"/>
  </r>
  <r>
    <x v="1"/>
    <s v="AAM-SC/SC"/>
    <x v="23"/>
    <s v="YDATHARE-B"/>
    <x v="0"/>
    <x v="49"/>
    <n v="0"/>
    <n v="0"/>
    <n v="59"/>
    <n v="0"/>
    <n v="57"/>
    <n v="222"/>
    <n v="4"/>
    <n v="3"/>
    <n v="3"/>
    <n v="32"/>
    <n v="30"/>
    <n v="12"/>
    <n v="0"/>
    <n v="0"/>
    <x v="0"/>
    <n v="0"/>
    <n v="0"/>
    <n v="0"/>
    <n v="0"/>
    <n v="0"/>
    <n v="0"/>
    <n v="0"/>
    <n v="0"/>
    <n v="0"/>
    <n v="0"/>
    <n v="0"/>
    <n v="0"/>
    <n v="0"/>
    <n v="0"/>
    <n v="0"/>
    <n v="0"/>
    <n v="0"/>
    <n v="0"/>
    <n v="0"/>
    <n v="0"/>
    <n v="0"/>
    <n v="0"/>
    <n v="0"/>
    <n v="0"/>
    <n v="0"/>
    <n v="0"/>
    <n v="14"/>
    <n v="0"/>
    <n v="0"/>
    <n v="0"/>
  </r>
  <r>
    <x v="1"/>
    <s v="AAM-PHC/PHC"/>
    <x v="26"/>
    <s v="HALLIHOLE"/>
    <x v="0"/>
    <x v="12"/>
    <n v="0"/>
    <n v="0"/>
    <n v="0"/>
    <n v="0"/>
    <n v="0"/>
    <n v="145"/>
    <n v="14"/>
    <n v="22"/>
    <n v="4"/>
    <n v="0"/>
    <n v="0"/>
    <n v="0"/>
    <n v="47"/>
    <n v="0"/>
    <x v="6"/>
    <n v="0"/>
    <n v="0"/>
    <n v="45"/>
    <n v="0"/>
    <n v="0"/>
    <n v="0"/>
    <n v="45"/>
    <n v="0"/>
    <n v="0"/>
    <n v="0"/>
    <n v="45"/>
    <n v="0"/>
    <n v="0"/>
    <n v="0"/>
    <n v="0"/>
    <n v="0"/>
    <n v="0"/>
    <n v="0"/>
    <n v="0"/>
    <n v="0"/>
    <n v="0"/>
    <n v="0"/>
    <n v="0"/>
    <n v="0"/>
    <n v="0"/>
    <n v="0"/>
    <n v="0"/>
    <n v="0"/>
    <n v="0"/>
    <n v="0"/>
  </r>
  <r>
    <x v="1"/>
    <s v="AAM-PHC/PHC"/>
    <x v="27"/>
    <s v="KIRIMANJESHWARA"/>
    <x v="0"/>
    <x v="12"/>
    <n v="0"/>
    <n v="0"/>
    <n v="0"/>
    <n v="0"/>
    <n v="0"/>
    <n v="360"/>
    <n v="115"/>
    <n v="113"/>
    <n v="20"/>
    <n v="0"/>
    <n v="0"/>
    <n v="176"/>
    <n v="237"/>
    <n v="0"/>
    <x v="3"/>
    <n v="4"/>
    <n v="0"/>
    <n v="245"/>
    <n v="89"/>
    <n v="0"/>
    <n v="0"/>
    <n v="85"/>
    <n v="1"/>
    <n v="0"/>
    <n v="1"/>
    <n v="280"/>
    <n v="0"/>
    <n v="0"/>
    <n v="0"/>
    <n v="0"/>
    <n v="0"/>
    <n v="0"/>
    <n v="0"/>
    <n v="11"/>
    <n v="3"/>
    <n v="0"/>
    <n v="0"/>
    <n v="0"/>
    <n v="0"/>
    <n v="0"/>
    <n v="0"/>
    <n v="0"/>
    <n v="1"/>
    <n v="0"/>
    <n v="0"/>
  </r>
  <r>
    <x v="1"/>
    <s v="AAM-PHC/PHC"/>
    <x v="24"/>
    <s v="KOLLUR"/>
    <x v="0"/>
    <x v="12"/>
    <n v="0"/>
    <n v="0"/>
    <n v="0"/>
    <n v="0"/>
    <n v="0"/>
    <n v="211"/>
    <n v="64"/>
    <n v="46"/>
    <n v="19"/>
    <n v="0"/>
    <n v="0"/>
    <n v="0"/>
    <n v="153"/>
    <n v="0"/>
    <x v="0"/>
    <n v="0"/>
    <n v="0"/>
    <n v="9"/>
    <n v="63"/>
    <n v="0"/>
    <n v="0"/>
    <n v="46"/>
    <n v="0"/>
    <n v="0"/>
    <n v="0"/>
    <n v="23"/>
    <n v="0"/>
    <n v="0"/>
    <n v="0"/>
    <n v="0"/>
    <n v="0"/>
    <n v="0"/>
    <n v="0"/>
    <n v="1"/>
    <n v="0"/>
    <n v="0"/>
    <n v="0"/>
    <n v="0"/>
    <n v="0"/>
    <n v="0"/>
    <n v="0"/>
    <n v="0"/>
    <n v="1"/>
    <n v="0"/>
    <n v="0"/>
  </r>
  <r>
    <x v="1"/>
    <s v="AAM-PHC/PHC"/>
    <x v="25"/>
    <s v="MARAVANTHE"/>
    <x v="0"/>
    <x v="12"/>
    <n v="0"/>
    <n v="0"/>
    <n v="0"/>
    <n v="0"/>
    <n v="0"/>
    <n v="1653"/>
    <n v="66"/>
    <n v="63"/>
    <n v="14"/>
    <n v="0"/>
    <n v="0"/>
    <n v="3"/>
    <n v="242"/>
    <n v="0"/>
    <x v="0"/>
    <n v="0"/>
    <n v="0"/>
    <n v="220"/>
    <n v="22"/>
    <n v="0"/>
    <n v="0"/>
    <n v="28"/>
    <n v="0"/>
    <n v="0"/>
    <n v="0"/>
    <n v="217"/>
    <n v="0"/>
    <n v="0"/>
    <n v="0"/>
    <n v="0"/>
    <n v="0"/>
    <n v="0"/>
    <n v="0"/>
    <n v="3"/>
    <n v="0"/>
    <n v="0"/>
    <n v="0"/>
    <n v="0"/>
    <n v="0"/>
    <n v="0"/>
    <n v="0"/>
    <n v="0"/>
    <n v="0"/>
    <n v="0"/>
    <n v="0"/>
  </r>
  <r>
    <x v="1"/>
    <s v="AAM-PHC/PHC"/>
    <x v="22"/>
    <s v="NADA"/>
    <x v="0"/>
    <x v="12"/>
    <n v="0"/>
    <n v="0"/>
    <n v="0"/>
    <n v="0"/>
    <n v="0"/>
    <n v="247"/>
    <n v="36"/>
    <n v="34"/>
    <n v="5"/>
    <n v="0"/>
    <n v="0"/>
    <n v="0"/>
    <n v="68"/>
    <n v="0"/>
    <x v="0"/>
    <n v="0"/>
    <n v="0"/>
    <n v="68"/>
    <n v="1"/>
    <n v="0"/>
    <n v="0"/>
    <n v="2"/>
    <n v="0"/>
    <n v="0"/>
    <n v="0"/>
    <n v="47"/>
    <n v="1"/>
    <n v="0"/>
    <n v="0"/>
    <n v="0"/>
    <n v="0"/>
    <n v="0"/>
    <n v="0"/>
    <n v="247"/>
    <n v="0"/>
    <n v="0"/>
    <n v="0"/>
    <n v="0"/>
    <n v="0"/>
    <n v="0"/>
    <n v="0"/>
    <n v="0"/>
    <n v="0"/>
    <n v="0"/>
    <n v="0"/>
  </r>
  <r>
    <x v="1"/>
    <s v="AAM-PHC/PHC"/>
    <x v="28"/>
    <s v="SHIROOR"/>
    <x v="0"/>
    <x v="12"/>
    <n v="0"/>
    <n v="0"/>
    <n v="0"/>
    <n v="0"/>
    <n v="0"/>
    <n v="611"/>
    <n v="69"/>
    <n v="77"/>
    <n v="26"/>
    <n v="125"/>
    <n v="125"/>
    <n v="136"/>
    <n v="285"/>
    <n v="0"/>
    <x v="0"/>
    <n v="0"/>
    <n v="0"/>
    <n v="301"/>
    <n v="64"/>
    <n v="0"/>
    <n v="0"/>
    <n v="22"/>
    <n v="0"/>
    <n v="0"/>
    <n v="0"/>
    <n v="136"/>
    <n v="0"/>
    <n v="0"/>
    <n v="0"/>
    <n v="0"/>
    <n v="0"/>
    <n v="0"/>
    <n v="0"/>
    <n v="1"/>
    <n v="0"/>
    <n v="0"/>
    <n v="0"/>
    <n v="0"/>
    <n v="0"/>
    <n v="0"/>
    <n v="0"/>
    <n v="10"/>
    <n v="0"/>
    <n v="0"/>
    <n v="0"/>
  </r>
  <r>
    <x v="1"/>
    <s v="Community Health Centre"/>
    <x v="23"/>
    <s v="BAINDOOR"/>
    <x v="0"/>
    <x v="12"/>
    <n v="0"/>
    <n v="0"/>
    <n v="0"/>
    <n v="0"/>
    <n v="0"/>
    <n v="200"/>
    <n v="83"/>
    <n v="90"/>
    <n v="9"/>
    <n v="0"/>
    <n v="0"/>
    <n v="4"/>
    <n v="298"/>
    <n v="0"/>
    <x v="7"/>
    <n v="2"/>
    <n v="0"/>
    <n v="50"/>
    <n v="136"/>
    <n v="1"/>
    <n v="1"/>
    <n v="60"/>
    <n v="1"/>
    <n v="0"/>
    <n v="0"/>
    <n v="262"/>
    <n v="1"/>
    <n v="1"/>
    <n v="0"/>
    <n v="0"/>
    <n v="0"/>
    <n v="0"/>
    <n v="0"/>
    <n v="9"/>
    <n v="2"/>
    <n v="0"/>
    <n v="0"/>
    <n v="0"/>
    <n v="0"/>
    <n v="0"/>
    <n v="0"/>
    <n v="0"/>
    <n v="13"/>
    <n v="3"/>
    <n v="0"/>
  </r>
  <r>
    <x v="1"/>
    <s v="AAM-SC/SC"/>
    <x v="29"/>
    <s v="ALABADI"/>
    <x v="0"/>
    <x v="26"/>
    <n v="0"/>
    <n v="0"/>
    <n v="29"/>
    <n v="0"/>
    <n v="27"/>
    <n v="122"/>
    <n v="1"/>
    <n v="0"/>
    <n v="0"/>
    <n v="21"/>
    <n v="21"/>
    <n v="21"/>
    <n v="0"/>
    <n v="0"/>
    <x v="0"/>
    <n v="0"/>
    <n v="0"/>
    <n v="0"/>
    <n v="0"/>
    <n v="0"/>
    <n v="0"/>
    <n v="0"/>
    <n v="0"/>
    <n v="0"/>
    <n v="0"/>
    <n v="0"/>
    <n v="0"/>
    <n v="0"/>
    <n v="0"/>
    <n v="0"/>
    <n v="0"/>
    <n v="0"/>
    <n v="0"/>
    <n v="0"/>
    <n v="0"/>
    <n v="0"/>
    <n v="0"/>
    <n v="0"/>
    <n v="0"/>
    <n v="0"/>
    <n v="0"/>
    <n v="0"/>
    <n v="0"/>
    <n v="0"/>
    <n v="0"/>
  </r>
  <r>
    <x v="1"/>
    <s v="AAM-SC/SC"/>
    <x v="29"/>
    <s v="BELVE"/>
    <x v="0"/>
    <x v="50"/>
    <n v="0"/>
    <n v="0"/>
    <n v="52"/>
    <n v="0"/>
    <n v="49"/>
    <n v="365"/>
    <n v="0"/>
    <n v="0"/>
    <n v="0"/>
    <n v="48"/>
    <n v="48"/>
    <n v="42"/>
    <n v="0"/>
    <n v="0"/>
    <x v="0"/>
    <n v="0"/>
    <n v="0"/>
    <n v="0"/>
    <n v="0"/>
    <n v="0"/>
    <n v="0"/>
    <n v="0"/>
    <n v="0"/>
    <n v="0"/>
    <n v="0"/>
    <n v="0"/>
    <n v="0"/>
    <n v="0"/>
    <n v="0"/>
    <n v="0"/>
    <n v="0"/>
    <n v="0"/>
    <n v="0"/>
    <n v="0"/>
    <n v="0"/>
    <n v="0"/>
    <n v="0"/>
    <n v="0"/>
    <n v="0"/>
    <n v="0"/>
    <n v="0"/>
    <n v="0"/>
    <n v="0"/>
    <n v="0"/>
    <n v="0"/>
  </r>
  <r>
    <x v="1"/>
    <s v="AAM-SC/SC"/>
    <x v="29"/>
    <s v="MADAMAKKI"/>
    <x v="0"/>
    <x v="8"/>
    <n v="0"/>
    <n v="0"/>
    <n v="13"/>
    <n v="0"/>
    <n v="13"/>
    <n v="91"/>
    <n v="2"/>
    <n v="2"/>
    <n v="0"/>
    <n v="15"/>
    <n v="15"/>
    <n v="11"/>
    <n v="0"/>
    <n v="0"/>
    <x v="0"/>
    <n v="0"/>
    <n v="0"/>
    <n v="5"/>
    <n v="0"/>
    <n v="0"/>
    <n v="0"/>
    <n v="0"/>
    <n v="0"/>
    <n v="0"/>
    <n v="0"/>
    <n v="0"/>
    <n v="0"/>
    <n v="0"/>
    <n v="0"/>
    <n v="0"/>
    <n v="0"/>
    <n v="0"/>
    <n v="0"/>
    <n v="0"/>
    <n v="0"/>
    <n v="0"/>
    <n v="0"/>
    <n v="0"/>
    <n v="0"/>
    <n v="0"/>
    <n v="0"/>
    <n v="3"/>
    <n v="0"/>
    <n v="0"/>
    <n v="0"/>
  </r>
  <r>
    <x v="1"/>
    <s v="AAM-SC/SC"/>
    <x v="29"/>
    <s v="SHEDIMANE"/>
    <x v="0"/>
    <x v="1"/>
    <n v="0"/>
    <n v="0"/>
    <n v="22"/>
    <n v="0"/>
    <n v="23"/>
    <n v="111"/>
    <n v="1"/>
    <n v="1"/>
    <n v="0"/>
    <n v="14"/>
    <n v="14"/>
    <n v="15"/>
    <n v="0"/>
    <n v="0"/>
    <x v="0"/>
    <n v="0"/>
    <n v="0"/>
    <n v="6"/>
    <n v="0"/>
    <n v="0"/>
    <n v="0"/>
    <n v="0"/>
    <n v="0"/>
    <n v="0"/>
    <n v="0"/>
    <n v="0"/>
    <n v="0"/>
    <n v="0"/>
    <n v="0"/>
    <n v="0"/>
    <n v="0"/>
    <n v="0"/>
    <n v="0"/>
    <n v="0"/>
    <n v="0"/>
    <n v="0"/>
    <n v="0"/>
    <n v="0"/>
    <n v="0"/>
    <n v="0"/>
    <n v="0"/>
    <n v="0"/>
    <n v="0"/>
    <n v="0"/>
    <n v="0"/>
  </r>
  <r>
    <x v="1"/>
    <s v="AAM-PHC/PHC"/>
    <x v="29"/>
    <s v="BELUVE"/>
    <x v="0"/>
    <x v="12"/>
    <n v="0"/>
    <n v="0"/>
    <n v="0"/>
    <n v="0"/>
    <n v="0"/>
    <n v="308"/>
    <n v="61"/>
    <n v="55"/>
    <n v="14"/>
    <n v="0"/>
    <n v="0"/>
    <n v="0"/>
    <n v="118"/>
    <n v="0"/>
    <x v="0"/>
    <n v="0"/>
    <n v="0"/>
    <n v="121"/>
    <n v="1"/>
    <n v="0"/>
    <n v="0"/>
    <n v="1"/>
    <n v="0"/>
    <n v="0"/>
    <n v="0"/>
    <n v="78"/>
    <n v="0"/>
    <n v="0"/>
    <n v="0"/>
    <n v="0"/>
    <n v="0"/>
    <n v="0"/>
    <n v="0"/>
    <n v="0"/>
    <n v="0"/>
    <n v="0"/>
    <n v="0"/>
    <n v="0"/>
    <n v="0"/>
    <n v="0"/>
    <n v="0"/>
    <n v="0"/>
    <n v="0"/>
    <n v="0"/>
    <n v="0"/>
  </r>
  <r>
    <x v="1"/>
    <s v="AAM-SC/SC"/>
    <x v="30"/>
    <s v="AJRI"/>
    <x v="0"/>
    <x v="24"/>
    <n v="0"/>
    <n v="0"/>
    <n v="39"/>
    <n v="0"/>
    <n v="37"/>
    <n v="194"/>
    <n v="0"/>
    <n v="0"/>
    <n v="0"/>
    <n v="31"/>
    <n v="31"/>
    <n v="18"/>
    <n v="0"/>
    <n v="0"/>
    <x v="0"/>
    <n v="0"/>
    <n v="0"/>
    <n v="0"/>
    <n v="0"/>
    <n v="0"/>
    <n v="0"/>
    <n v="0"/>
    <n v="0"/>
    <n v="0"/>
    <n v="0"/>
    <n v="0"/>
    <n v="0"/>
    <n v="0"/>
    <n v="0"/>
    <n v="0"/>
    <n v="0"/>
    <n v="0"/>
    <n v="0"/>
    <n v="0"/>
    <n v="0"/>
    <n v="0"/>
    <n v="0"/>
    <n v="0"/>
    <n v="0"/>
    <n v="0"/>
    <n v="0"/>
    <n v="0"/>
    <n v="0"/>
    <n v="0"/>
    <n v="0"/>
  </r>
  <r>
    <x v="1"/>
    <s v="AAM-SC/SC"/>
    <x v="31"/>
    <s v="ALOOR"/>
    <x v="0"/>
    <x v="23"/>
    <n v="0"/>
    <n v="0"/>
    <n v="41"/>
    <n v="0"/>
    <n v="39"/>
    <n v="233"/>
    <n v="0"/>
    <n v="0"/>
    <n v="0"/>
    <n v="23"/>
    <n v="23"/>
    <n v="35"/>
    <n v="0"/>
    <n v="0"/>
    <x v="0"/>
    <n v="0"/>
    <n v="0"/>
    <n v="0"/>
    <n v="0"/>
    <n v="0"/>
    <n v="0"/>
    <n v="0"/>
    <n v="0"/>
    <n v="0"/>
    <n v="0"/>
    <n v="0"/>
    <n v="0"/>
    <n v="0"/>
    <n v="0"/>
    <n v="0"/>
    <n v="0"/>
    <n v="0"/>
    <n v="0"/>
    <n v="0"/>
    <n v="0"/>
    <n v="0"/>
    <n v="0"/>
    <n v="0"/>
    <n v="0"/>
    <n v="0"/>
    <n v="0"/>
    <n v="15"/>
    <n v="0"/>
    <n v="0"/>
    <n v="0"/>
  </r>
  <r>
    <x v="1"/>
    <s v="AAM-SC/SC"/>
    <x v="32"/>
    <s v="AMASEBAILU"/>
    <x v="0"/>
    <x v="18"/>
    <n v="0"/>
    <n v="0"/>
    <n v="25"/>
    <n v="0"/>
    <n v="25"/>
    <n v="190"/>
    <n v="3"/>
    <n v="5"/>
    <n v="5"/>
    <n v="27"/>
    <n v="27"/>
    <n v="23"/>
    <n v="0"/>
    <n v="0"/>
    <x v="0"/>
    <n v="0"/>
    <n v="0"/>
    <n v="0"/>
    <n v="0"/>
    <n v="0"/>
    <n v="0"/>
    <n v="0"/>
    <n v="0"/>
    <n v="0"/>
    <n v="0"/>
    <n v="0"/>
    <n v="0"/>
    <n v="0"/>
    <n v="0"/>
    <n v="0"/>
    <n v="0"/>
    <n v="0"/>
    <n v="0"/>
    <n v="60"/>
    <n v="0"/>
    <n v="0"/>
    <n v="0"/>
    <n v="0"/>
    <n v="0"/>
    <n v="0"/>
    <n v="0"/>
    <n v="15"/>
    <n v="0"/>
    <n v="0"/>
    <n v="0"/>
  </r>
  <r>
    <x v="1"/>
    <s v="AAM-SC/SC"/>
    <x v="33"/>
    <s v="AMPARU"/>
    <x v="0"/>
    <x v="39"/>
    <n v="0"/>
    <n v="0"/>
    <n v="47"/>
    <n v="0"/>
    <n v="44"/>
    <n v="272"/>
    <n v="1"/>
    <n v="1"/>
    <n v="0"/>
    <n v="28"/>
    <n v="28"/>
    <n v="9"/>
    <n v="4"/>
    <n v="0"/>
    <x v="0"/>
    <n v="0"/>
    <n v="0"/>
    <n v="0"/>
    <n v="4"/>
    <n v="0"/>
    <n v="0"/>
    <n v="0"/>
    <n v="0"/>
    <n v="0"/>
    <n v="0"/>
    <n v="0"/>
    <n v="0"/>
    <n v="0"/>
    <n v="0"/>
    <n v="0"/>
    <n v="0"/>
    <n v="0"/>
    <n v="0"/>
    <n v="1"/>
    <n v="0"/>
    <n v="0"/>
    <n v="0"/>
    <n v="0"/>
    <n v="0"/>
    <n v="0"/>
    <n v="0"/>
    <n v="2"/>
    <n v="0"/>
    <n v="0"/>
    <n v="0"/>
  </r>
  <r>
    <x v="1"/>
    <s v="AAM-SC/SC"/>
    <x v="34"/>
    <s v="ANGALLI"/>
    <x v="0"/>
    <x v="0"/>
    <n v="0"/>
    <n v="0"/>
    <n v="21"/>
    <n v="0"/>
    <n v="18"/>
    <n v="200"/>
    <n v="2"/>
    <n v="3"/>
    <n v="0"/>
    <n v="23"/>
    <n v="23"/>
    <n v="23"/>
    <n v="0"/>
    <n v="0"/>
    <x v="0"/>
    <n v="0"/>
    <n v="0"/>
    <n v="0"/>
    <n v="0"/>
    <n v="0"/>
    <n v="0"/>
    <n v="0"/>
    <n v="0"/>
    <n v="0"/>
    <n v="0"/>
    <n v="0"/>
    <n v="0"/>
    <n v="0"/>
    <n v="0"/>
    <n v="0"/>
    <n v="0"/>
    <n v="0"/>
    <n v="0"/>
    <n v="0"/>
    <n v="0"/>
    <n v="0"/>
    <n v="0"/>
    <n v="0"/>
    <n v="0"/>
    <n v="0"/>
    <n v="0"/>
    <n v="0"/>
    <n v="0"/>
    <n v="0"/>
    <n v="0"/>
  </r>
  <r>
    <x v="1"/>
    <s v="AAM-SC/SC"/>
    <x v="35"/>
    <s v="BALKURU"/>
    <x v="0"/>
    <x v="45"/>
    <n v="0"/>
    <n v="0"/>
    <n v="27"/>
    <n v="0"/>
    <n v="25"/>
    <n v="150"/>
    <n v="2"/>
    <n v="2"/>
    <n v="1"/>
    <n v="17"/>
    <n v="17"/>
    <n v="23"/>
    <n v="0"/>
    <n v="0"/>
    <x v="0"/>
    <n v="0"/>
    <n v="0"/>
    <n v="0"/>
    <n v="0"/>
    <n v="0"/>
    <n v="0"/>
    <n v="0"/>
    <n v="0"/>
    <n v="0"/>
    <n v="0"/>
    <n v="0"/>
    <n v="0"/>
    <n v="0"/>
    <n v="0"/>
    <n v="0"/>
    <n v="0"/>
    <n v="0"/>
    <n v="0"/>
    <n v="0"/>
    <n v="0"/>
    <n v="0"/>
    <n v="0"/>
    <n v="0"/>
    <n v="0"/>
    <n v="0"/>
    <n v="0"/>
    <n v="0"/>
    <n v="0"/>
    <n v="0"/>
    <n v="0"/>
  </r>
  <r>
    <x v="1"/>
    <s v="AAM-SC/SC"/>
    <x v="34"/>
    <s v="BASRURU-A"/>
    <x v="0"/>
    <x v="4"/>
    <n v="0"/>
    <n v="0"/>
    <n v="23"/>
    <n v="0"/>
    <n v="22"/>
    <n v="188"/>
    <n v="0"/>
    <n v="0"/>
    <n v="0"/>
    <n v="16"/>
    <n v="16"/>
    <n v="20"/>
    <n v="0"/>
    <n v="0"/>
    <x v="0"/>
    <n v="0"/>
    <n v="0"/>
    <n v="0"/>
    <n v="0"/>
    <n v="0"/>
    <n v="0"/>
    <n v="0"/>
    <n v="0"/>
    <n v="0"/>
    <n v="0"/>
    <n v="0"/>
    <n v="0"/>
    <n v="0"/>
    <n v="0"/>
    <n v="0"/>
    <n v="0"/>
    <n v="0"/>
    <n v="0"/>
    <n v="0"/>
    <n v="0"/>
    <n v="0"/>
    <n v="0"/>
    <n v="0"/>
    <n v="0"/>
    <n v="0"/>
    <n v="0"/>
    <n v="0"/>
    <n v="0"/>
    <n v="0"/>
    <n v="0"/>
  </r>
  <r>
    <x v="1"/>
    <s v="AAM-SC/SC"/>
    <x v="34"/>
    <s v="BASRURU-B"/>
    <x v="0"/>
    <x v="51"/>
    <n v="0"/>
    <n v="0"/>
    <n v="56"/>
    <n v="0"/>
    <n v="50"/>
    <n v="534"/>
    <n v="1"/>
    <n v="3"/>
    <n v="0"/>
    <n v="43"/>
    <n v="43"/>
    <n v="56"/>
    <n v="0"/>
    <n v="0"/>
    <x v="0"/>
    <n v="0"/>
    <n v="0"/>
    <n v="0"/>
    <n v="0"/>
    <n v="0"/>
    <n v="0"/>
    <n v="0"/>
    <n v="0"/>
    <n v="0"/>
    <n v="0"/>
    <n v="0"/>
    <n v="0"/>
    <n v="0"/>
    <n v="0"/>
    <n v="0"/>
    <n v="0"/>
    <n v="0"/>
    <n v="0"/>
    <n v="0"/>
    <n v="0"/>
    <n v="0"/>
    <n v="0"/>
    <n v="0"/>
    <n v="0"/>
    <n v="0"/>
    <n v="0"/>
    <n v="0"/>
    <n v="0"/>
    <n v="0"/>
    <n v="0"/>
  </r>
  <r>
    <x v="1"/>
    <s v="AAM-SC/SC"/>
    <x v="36"/>
    <s v="BELALAKERADI"/>
    <x v="0"/>
    <x v="41"/>
    <n v="0"/>
    <n v="0"/>
    <n v="48"/>
    <n v="0"/>
    <n v="48"/>
    <n v="199"/>
    <n v="0"/>
    <n v="0"/>
    <n v="0"/>
    <n v="30"/>
    <n v="30"/>
    <n v="1"/>
    <n v="0"/>
    <n v="0"/>
    <x v="0"/>
    <n v="0"/>
    <n v="0"/>
    <n v="0"/>
    <n v="0"/>
    <n v="0"/>
    <n v="0"/>
    <n v="0"/>
    <n v="0"/>
    <n v="0"/>
    <n v="0"/>
    <n v="0"/>
    <n v="0"/>
    <n v="0"/>
    <n v="0"/>
    <n v="0"/>
    <n v="0"/>
    <n v="0"/>
    <n v="0"/>
    <n v="0"/>
    <n v="0"/>
    <n v="0"/>
    <n v="0"/>
    <n v="0"/>
    <n v="0"/>
    <n v="0"/>
    <n v="0"/>
    <n v="0"/>
    <n v="0"/>
    <n v="0"/>
    <n v="0"/>
  </r>
  <r>
    <x v="1"/>
    <s v="AAM-SC/SC"/>
    <x v="37"/>
    <s v="BELUR"/>
    <x v="0"/>
    <x v="17"/>
    <n v="0"/>
    <n v="0"/>
    <n v="33"/>
    <n v="0"/>
    <n v="32"/>
    <n v="38"/>
    <n v="0"/>
    <n v="2"/>
    <n v="0"/>
    <n v="28"/>
    <n v="28"/>
    <n v="23"/>
    <n v="28"/>
    <n v="0"/>
    <x v="0"/>
    <n v="0"/>
    <n v="0"/>
    <n v="0"/>
    <n v="0"/>
    <n v="0"/>
    <n v="0"/>
    <n v="0"/>
    <n v="0"/>
    <n v="0"/>
    <n v="0"/>
    <n v="0"/>
    <n v="0"/>
    <n v="0"/>
    <n v="0"/>
    <n v="0"/>
    <n v="0"/>
    <n v="0"/>
    <n v="0"/>
    <n v="0"/>
    <n v="0"/>
    <n v="0"/>
    <n v="0"/>
    <n v="0"/>
    <n v="0"/>
    <n v="0"/>
    <n v="0"/>
    <n v="15"/>
    <n v="0"/>
    <n v="0"/>
    <n v="0"/>
  </r>
  <r>
    <x v="1"/>
    <s v="AAM-SC/SC"/>
    <x v="38"/>
    <s v="BIJADI"/>
    <x v="0"/>
    <x v="49"/>
    <n v="0"/>
    <n v="0"/>
    <n v="59"/>
    <n v="0"/>
    <n v="55"/>
    <n v="348"/>
    <n v="0"/>
    <n v="0"/>
    <n v="0"/>
    <n v="52"/>
    <n v="52"/>
    <n v="56"/>
    <n v="0"/>
    <n v="0"/>
    <x v="0"/>
    <n v="0"/>
    <n v="0"/>
    <n v="47"/>
    <n v="4"/>
    <n v="0"/>
    <n v="0"/>
    <n v="0"/>
    <n v="0"/>
    <n v="0"/>
    <n v="0"/>
    <n v="0"/>
    <n v="0"/>
    <n v="0"/>
    <n v="0"/>
    <n v="0"/>
    <n v="0"/>
    <n v="0"/>
    <n v="0"/>
    <n v="0"/>
    <n v="0"/>
    <n v="0"/>
    <n v="0"/>
    <n v="0"/>
    <n v="0"/>
    <n v="0"/>
    <n v="0"/>
    <n v="24"/>
    <n v="0"/>
    <n v="0"/>
    <n v="0"/>
  </r>
  <r>
    <x v="1"/>
    <s v="AAM-SC/SC"/>
    <x v="31"/>
    <s v="CHITTURU"/>
    <x v="0"/>
    <x v="42"/>
    <n v="0"/>
    <n v="0"/>
    <n v="32"/>
    <n v="0"/>
    <n v="32"/>
    <n v="202"/>
    <n v="0"/>
    <n v="0"/>
    <n v="0"/>
    <n v="31"/>
    <n v="31"/>
    <n v="29"/>
    <n v="0"/>
    <n v="0"/>
    <x v="0"/>
    <n v="0"/>
    <n v="0"/>
    <n v="0"/>
    <n v="0"/>
    <n v="0"/>
    <n v="0"/>
    <n v="0"/>
    <n v="0"/>
    <n v="0"/>
    <n v="0"/>
    <n v="0"/>
    <n v="0"/>
    <n v="0"/>
    <n v="0"/>
    <n v="0"/>
    <n v="0"/>
    <n v="0"/>
    <n v="0"/>
    <n v="0"/>
    <n v="0"/>
    <n v="0"/>
    <n v="0"/>
    <n v="0"/>
    <n v="0"/>
    <n v="0"/>
    <n v="0"/>
    <n v="7"/>
    <n v="0"/>
    <n v="0"/>
    <n v="0"/>
  </r>
  <r>
    <x v="1"/>
    <s v="AAM-SC/SC"/>
    <x v="39"/>
    <s v="DEVLAKUNDA"/>
    <x v="0"/>
    <x v="19"/>
    <n v="0"/>
    <n v="0"/>
    <n v="19"/>
    <n v="0"/>
    <n v="15"/>
    <n v="76"/>
    <n v="6"/>
    <n v="3"/>
    <n v="1"/>
    <n v="10"/>
    <n v="10"/>
    <n v="18"/>
    <n v="0"/>
    <n v="0"/>
    <x v="0"/>
    <n v="0"/>
    <n v="0"/>
    <n v="0"/>
    <n v="0"/>
    <n v="0"/>
    <n v="0"/>
    <n v="0"/>
    <n v="0"/>
    <n v="0"/>
    <n v="0"/>
    <n v="0"/>
    <n v="0"/>
    <n v="0"/>
    <n v="0"/>
    <n v="0"/>
    <n v="0"/>
    <n v="0"/>
    <n v="0"/>
    <n v="0"/>
    <n v="0"/>
    <n v="0"/>
    <n v="0"/>
    <n v="0"/>
    <n v="0"/>
    <n v="0"/>
    <n v="0"/>
    <n v="0"/>
    <n v="0"/>
    <n v="0"/>
    <n v="0"/>
  </r>
  <r>
    <x v="1"/>
    <s v="AAM-SC/SC"/>
    <x v="39"/>
    <s v="GANGOLLI-A"/>
    <x v="0"/>
    <x v="52"/>
    <n v="0"/>
    <n v="0"/>
    <n v="71"/>
    <n v="0"/>
    <n v="70"/>
    <n v="449"/>
    <n v="0"/>
    <n v="0"/>
    <n v="0"/>
    <n v="50"/>
    <n v="50"/>
    <n v="43"/>
    <n v="0"/>
    <n v="0"/>
    <x v="0"/>
    <n v="0"/>
    <n v="0"/>
    <n v="0"/>
    <n v="0"/>
    <n v="0"/>
    <n v="0"/>
    <n v="0"/>
    <n v="0"/>
    <n v="0"/>
    <n v="0"/>
    <n v="0"/>
    <n v="0"/>
    <n v="0"/>
    <n v="0"/>
    <n v="0"/>
    <n v="0"/>
    <n v="0"/>
    <n v="0"/>
    <n v="0"/>
    <n v="0"/>
    <n v="0"/>
    <n v="0"/>
    <n v="0"/>
    <n v="0"/>
    <n v="0"/>
    <n v="0"/>
    <n v="0"/>
    <n v="0"/>
    <n v="0"/>
    <n v="0"/>
  </r>
  <r>
    <x v="1"/>
    <s v="AAM-SC/SC"/>
    <x v="39"/>
    <s v="GANGOLLI-B"/>
    <x v="0"/>
    <x v="53"/>
    <n v="0"/>
    <n v="0"/>
    <n v="69"/>
    <n v="0"/>
    <n v="60"/>
    <n v="384"/>
    <n v="0"/>
    <n v="0"/>
    <n v="0"/>
    <n v="54"/>
    <n v="54"/>
    <n v="35"/>
    <n v="0"/>
    <n v="0"/>
    <x v="0"/>
    <n v="0"/>
    <n v="0"/>
    <n v="0"/>
    <n v="0"/>
    <n v="0"/>
    <n v="0"/>
    <n v="0"/>
    <n v="0"/>
    <n v="0"/>
    <n v="0"/>
    <n v="0"/>
    <n v="0"/>
    <n v="0"/>
    <n v="0"/>
    <n v="0"/>
    <n v="0"/>
    <n v="0"/>
    <n v="0"/>
    <n v="0"/>
    <n v="0"/>
    <n v="0"/>
    <n v="0"/>
    <n v="0"/>
    <n v="0"/>
    <n v="0"/>
    <n v="0"/>
    <n v="0"/>
    <n v="0"/>
    <n v="0"/>
    <n v="0"/>
  </r>
  <r>
    <x v="1"/>
    <s v="AAM-SC/SC"/>
    <x v="36"/>
    <s v="GULVADI-A"/>
    <x v="0"/>
    <x v="26"/>
    <n v="0"/>
    <n v="0"/>
    <n v="29"/>
    <n v="0"/>
    <n v="29"/>
    <n v="155"/>
    <n v="4"/>
    <n v="6"/>
    <n v="1"/>
    <n v="22"/>
    <n v="22"/>
    <n v="2"/>
    <n v="0"/>
    <n v="0"/>
    <x v="0"/>
    <n v="0"/>
    <n v="0"/>
    <n v="0"/>
    <n v="0"/>
    <n v="0"/>
    <n v="0"/>
    <n v="0"/>
    <n v="0"/>
    <n v="0"/>
    <n v="0"/>
    <n v="0"/>
    <n v="0"/>
    <n v="0"/>
    <n v="0"/>
    <n v="0"/>
    <n v="0"/>
    <n v="0"/>
    <n v="0"/>
    <n v="0"/>
    <n v="0"/>
    <n v="0"/>
    <n v="0"/>
    <n v="0"/>
    <n v="0"/>
    <n v="0"/>
    <n v="0"/>
    <n v="0"/>
    <n v="0"/>
    <n v="0"/>
    <n v="0"/>
  </r>
  <r>
    <x v="1"/>
    <s v="AAM-SC/SC"/>
    <x v="36"/>
    <s v="GULVADI-B"/>
    <x v="0"/>
    <x v="1"/>
    <n v="0"/>
    <n v="0"/>
    <n v="24"/>
    <n v="0"/>
    <n v="24"/>
    <n v="124"/>
    <n v="4"/>
    <n v="6"/>
    <n v="0"/>
    <n v="27"/>
    <n v="27"/>
    <n v="2"/>
    <n v="0"/>
    <n v="0"/>
    <x v="0"/>
    <n v="0"/>
    <n v="0"/>
    <n v="0"/>
    <n v="0"/>
    <n v="0"/>
    <n v="0"/>
    <n v="0"/>
    <n v="0"/>
    <n v="0"/>
    <n v="0"/>
    <n v="0"/>
    <n v="0"/>
    <n v="0"/>
    <n v="0"/>
    <n v="0"/>
    <n v="0"/>
    <n v="0"/>
    <n v="0"/>
    <n v="0"/>
    <n v="0"/>
    <n v="0"/>
    <n v="0"/>
    <n v="0"/>
    <n v="0"/>
    <n v="0"/>
    <n v="0"/>
    <n v="0"/>
    <n v="0"/>
    <n v="0"/>
    <n v="0"/>
  </r>
  <r>
    <x v="1"/>
    <s v="AAM-SC/SC"/>
    <x v="40"/>
    <s v="HAKLADI"/>
    <x v="0"/>
    <x v="32"/>
    <n v="0"/>
    <n v="0"/>
    <n v="31"/>
    <n v="0"/>
    <n v="29"/>
    <n v="179"/>
    <n v="0"/>
    <n v="0"/>
    <n v="0"/>
    <n v="30"/>
    <n v="30"/>
    <n v="31"/>
    <n v="0"/>
    <n v="0"/>
    <x v="0"/>
    <n v="0"/>
    <n v="0"/>
    <n v="0"/>
    <n v="0"/>
    <n v="0"/>
    <n v="0"/>
    <n v="0"/>
    <n v="0"/>
    <n v="0"/>
    <n v="0"/>
    <n v="0"/>
    <n v="0"/>
    <n v="0"/>
    <n v="0"/>
    <n v="0"/>
    <n v="0"/>
    <n v="0"/>
    <n v="0"/>
    <n v="0"/>
    <n v="0"/>
    <n v="0"/>
    <n v="0"/>
    <n v="0"/>
    <n v="0"/>
    <n v="0"/>
    <n v="0"/>
    <n v="7"/>
    <n v="0"/>
    <n v="0"/>
    <n v="0"/>
  </r>
  <r>
    <x v="1"/>
    <s v="AAM-SC/SC"/>
    <x v="41"/>
    <s v="HALADIHRKADI"/>
    <x v="0"/>
    <x v="19"/>
    <n v="0"/>
    <n v="0"/>
    <n v="19"/>
    <n v="0"/>
    <n v="19"/>
    <n v="123"/>
    <n v="4"/>
    <n v="0"/>
    <n v="0"/>
    <n v="12"/>
    <n v="12"/>
    <n v="11"/>
    <n v="0"/>
    <n v="0"/>
    <x v="0"/>
    <n v="0"/>
    <n v="0"/>
    <n v="0"/>
    <n v="0"/>
    <n v="0"/>
    <n v="0"/>
    <n v="0"/>
    <n v="0"/>
    <n v="0"/>
    <n v="0"/>
    <n v="0"/>
    <n v="0"/>
    <n v="0"/>
    <n v="0"/>
    <n v="0"/>
    <n v="0"/>
    <n v="0"/>
    <n v="0"/>
    <n v="0"/>
    <n v="0"/>
    <n v="0"/>
    <n v="0"/>
    <n v="0"/>
    <n v="0"/>
    <n v="0"/>
    <n v="0"/>
    <n v="3"/>
    <n v="0"/>
    <n v="0"/>
    <n v="0"/>
  </r>
  <r>
    <x v="1"/>
    <s v="AAM-SC/SC"/>
    <x v="35"/>
    <s v="HALNADU"/>
    <x v="0"/>
    <x v="16"/>
    <n v="0"/>
    <n v="0"/>
    <n v="22"/>
    <n v="0"/>
    <n v="19"/>
    <n v="137"/>
    <n v="3"/>
    <n v="5"/>
    <n v="0"/>
    <n v="18"/>
    <n v="18"/>
    <n v="32"/>
    <n v="0"/>
    <n v="0"/>
    <x v="0"/>
    <n v="0"/>
    <n v="0"/>
    <n v="0"/>
    <n v="0"/>
    <n v="0"/>
    <n v="0"/>
    <n v="0"/>
    <n v="0"/>
    <n v="0"/>
    <n v="0"/>
    <n v="0"/>
    <n v="0"/>
    <n v="0"/>
    <n v="0"/>
    <n v="0"/>
    <n v="0"/>
    <n v="0"/>
    <n v="0"/>
    <n v="0"/>
    <n v="0"/>
    <n v="0"/>
    <n v="0"/>
    <n v="0"/>
    <n v="0"/>
    <n v="0"/>
    <n v="0"/>
    <n v="0"/>
    <n v="0"/>
    <n v="0"/>
    <n v="0"/>
  </r>
  <r>
    <x v="1"/>
    <s v="AAM-SC/SC"/>
    <x v="42"/>
    <s v="HANGALUR"/>
    <x v="0"/>
    <x v="54"/>
    <n v="0"/>
    <n v="0"/>
    <n v="49"/>
    <n v="0"/>
    <n v="49"/>
    <n v="285"/>
    <n v="6"/>
    <n v="4"/>
    <n v="0"/>
    <n v="33"/>
    <n v="33"/>
    <n v="24"/>
    <n v="0"/>
    <n v="0"/>
    <x v="0"/>
    <n v="0"/>
    <n v="0"/>
    <n v="0"/>
    <n v="0"/>
    <n v="0"/>
    <n v="0"/>
    <n v="0"/>
    <n v="0"/>
    <n v="0"/>
    <n v="0"/>
    <n v="0"/>
    <n v="0"/>
    <n v="0"/>
    <n v="0"/>
    <n v="0"/>
    <n v="0"/>
    <n v="0"/>
    <n v="0"/>
    <n v="0"/>
    <n v="0"/>
    <n v="0"/>
    <n v="0"/>
    <n v="0"/>
    <n v="0"/>
    <n v="0"/>
    <n v="0"/>
    <n v="0"/>
    <n v="0"/>
    <n v="0"/>
    <n v="0"/>
  </r>
  <r>
    <x v="1"/>
    <s v="AAM-SC/SC"/>
    <x v="41"/>
    <s v="HARDALLIMANDALLI"/>
    <x v="0"/>
    <x v="31"/>
    <n v="0"/>
    <n v="0"/>
    <n v="36"/>
    <n v="0"/>
    <n v="36"/>
    <n v="215"/>
    <n v="4"/>
    <n v="2"/>
    <n v="0"/>
    <n v="32"/>
    <n v="32"/>
    <n v="19"/>
    <n v="0"/>
    <n v="0"/>
    <x v="0"/>
    <n v="0"/>
    <n v="0"/>
    <n v="0"/>
    <n v="0"/>
    <n v="0"/>
    <n v="0"/>
    <n v="0"/>
    <n v="0"/>
    <n v="0"/>
    <n v="0"/>
    <n v="0"/>
    <n v="0"/>
    <n v="0"/>
    <n v="0"/>
    <n v="0"/>
    <n v="0"/>
    <n v="0"/>
    <n v="0"/>
    <n v="0"/>
    <n v="0"/>
    <n v="0"/>
    <n v="0"/>
    <n v="0"/>
    <n v="0"/>
    <n v="0"/>
    <n v="0"/>
    <n v="14"/>
    <n v="0"/>
    <n v="0"/>
    <n v="0"/>
  </r>
  <r>
    <x v="1"/>
    <s v="AAM-SC/SC"/>
    <x v="31"/>
    <s v="HARKUR"/>
    <x v="0"/>
    <x v="4"/>
    <n v="0"/>
    <n v="0"/>
    <n v="23"/>
    <n v="0"/>
    <n v="23"/>
    <n v="116"/>
    <n v="0"/>
    <n v="1"/>
    <n v="0"/>
    <n v="14"/>
    <n v="14"/>
    <n v="19"/>
    <n v="0"/>
    <n v="0"/>
    <x v="0"/>
    <n v="0"/>
    <n v="0"/>
    <n v="0"/>
    <n v="0"/>
    <n v="0"/>
    <n v="0"/>
    <n v="0"/>
    <n v="0"/>
    <n v="0"/>
    <n v="0"/>
    <n v="0"/>
    <n v="0"/>
    <n v="0"/>
    <n v="0"/>
    <n v="0"/>
    <n v="0"/>
    <n v="0"/>
    <n v="0"/>
    <n v="0"/>
    <n v="0"/>
    <n v="0"/>
    <n v="0"/>
    <n v="0"/>
    <n v="0"/>
    <n v="0"/>
    <n v="0"/>
    <n v="9"/>
    <n v="0"/>
    <n v="0"/>
    <n v="0"/>
  </r>
  <r>
    <x v="1"/>
    <s v="AAM-SC/SC"/>
    <x v="36"/>
    <s v="HATTIYANGADI"/>
    <x v="0"/>
    <x v="40"/>
    <n v="0"/>
    <n v="0"/>
    <n v="17"/>
    <n v="0"/>
    <n v="17"/>
    <n v="116"/>
    <n v="0"/>
    <n v="0"/>
    <n v="0"/>
    <n v="13"/>
    <n v="13"/>
    <n v="0"/>
    <n v="0"/>
    <n v="0"/>
    <x v="0"/>
    <n v="0"/>
    <n v="0"/>
    <n v="0"/>
    <n v="0"/>
    <n v="0"/>
    <n v="0"/>
    <n v="0"/>
    <n v="0"/>
    <n v="0"/>
    <n v="0"/>
    <n v="0"/>
    <n v="0"/>
    <n v="0"/>
    <n v="0"/>
    <n v="0"/>
    <n v="0"/>
    <n v="0"/>
    <n v="0"/>
    <n v="0"/>
    <n v="0"/>
    <n v="0"/>
    <n v="0"/>
    <n v="0"/>
    <n v="0"/>
    <n v="0"/>
    <n v="0"/>
    <n v="0"/>
    <n v="0"/>
    <n v="0"/>
    <n v="0"/>
  </r>
  <r>
    <x v="1"/>
    <s v="AAM-SC/SC"/>
    <x v="39"/>
    <s v="HEMMADI"/>
    <x v="0"/>
    <x v="54"/>
    <n v="0"/>
    <n v="0"/>
    <n v="49"/>
    <n v="0"/>
    <n v="49"/>
    <n v="309"/>
    <n v="11"/>
    <n v="15"/>
    <n v="3"/>
    <n v="58"/>
    <n v="42"/>
    <n v="29"/>
    <n v="6"/>
    <n v="0"/>
    <x v="0"/>
    <n v="0"/>
    <n v="0"/>
    <n v="0"/>
    <n v="0"/>
    <n v="0"/>
    <n v="0"/>
    <n v="0"/>
    <n v="0"/>
    <n v="0"/>
    <n v="0"/>
    <n v="0"/>
    <n v="0"/>
    <n v="0"/>
    <n v="0"/>
    <n v="0"/>
    <n v="0"/>
    <n v="0"/>
    <n v="0"/>
    <n v="0"/>
    <n v="0"/>
    <n v="0"/>
    <n v="0"/>
    <n v="0"/>
    <n v="0"/>
    <n v="0"/>
    <n v="0"/>
    <n v="0"/>
    <n v="0"/>
    <n v="0"/>
    <n v="0"/>
  </r>
  <r>
    <x v="1"/>
    <s v="AAM-SC/SC"/>
    <x v="29"/>
    <s v="HENGAVALLLI"/>
    <x v="0"/>
    <x v="24"/>
    <n v="0"/>
    <n v="0"/>
    <n v="38"/>
    <n v="0"/>
    <n v="37"/>
    <n v="175"/>
    <n v="0"/>
    <n v="0"/>
    <n v="0"/>
    <n v="23"/>
    <n v="23"/>
    <n v="33"/>
    <n v="0"/>
    <n v="0"/>
    <x v="0"/>
    <n v="0"/>
    <n v="0"/>
    <n v="0"/>
    <n v="0"/>
    <n v="0"/>
    <n v="0"/>
    <n v="0"/>
    <n v="0"/>
    <n v="0"/>
    <n v="0"/>
    <n v="0"/>
    <n v="0"/>
    <n v="0"/>
    <n v="0"/>
    <n v="0"/>
    <n v="0"/>
    <n v="0"/>
    <n v="0"/>
    <n v="0"/>
    <n v="0"/>
    <n v="0"/>
    <n v="0"/>
    <n v="0"/>
    <n v="0"/>
    <n v="0"/>
    <n v="0"/>
    <n v="0"/>
    <n v="0"/>
    <n v="0"/>
    <n v="0"/>
  </r>
  <r>
    <x v="1"/>
    <s v="AAM-SC/SC"/>
    <x v="41"/>
    <s v="HOMBADIMANDADI"/>
    <x v="0"/>
    <x v="1"/>
    <n v="0"/>
    <n v="0"/>
    <n v="24"/>
    <n v="0"/>
    <n v="24"/>
    <n v="136"/>
    <n v="0"/>
    <n v="1"/>
    <n v="1"/>
    <n v="23"/>
    <n v="23"/>
    <n v="19"/>
    <n v="0"/>
    <n v="0"/>
    <x v="0"/>
    <n v="0"/>
    <n v="0"/>
    <n v="0"/>
    <n v="0"/>
    <n v="0"/>
    <n v="0"/>
    <n v="0"/>
    <n v="0"/>
    <n v="0"/>
    <n v="0"/>
    <n v="0"/>
    <n v="0"/>
    <n v="0"/>
    <n v="0"/>
    <n v="0"/>
    <n v="0"/>
    <n v="0"/>
    <n v="0"/>
    <n v="0"/>
    <n v="0"/>
    <n v="0"/>
    <n v="0"/>
    <n v="0"/>
    <n v="0"/>
    <n v="0"/>
    <n v="0"/>
    <n v="7"/>
    <n v="0"/>
    <n v="0"/>
    <n v="0"/>
  </r>
  <r>
    <x v="1"/>
    <s v="AAM-SC/SC"/>
    <x v="30"/>
    <s v="HOSANGADI"/>
    <x v="0"/>
    <x v="0"/>
    <n v="0"/>
    <n v="0"/>
    <n v="21"/>
    <n v="0"/>
    <n v="17"/>
    <n v="121"/>
    <n v="12"/>
    <n v="6"/>
    <n v="0"/>
    <n v="17"/>
    <n v="17"/>
    <n v="5"/>
    <n v="4"/>
    <n v="0"/>
    <x v="0"/>
    <n v="0"/>
    <n v="0"/>
    <n v="0"/>
    <n v="0"/>
    <n v="0"/>
    <n v="0"/>
    <n v="0"/>
    <n v="0"/>
    <n v="0"/>
    <n v="0"/>
    <n v="0"/>
    <n v="0"/>
    <n v="0"/>
    <n v="0"/>
    <n v="0"/>
    <n v="0"/>
    <n v="0"/>
    <n v="0"/>
    <n v="0"/>
    <n v="0"/>
    <n v="0"/>
    <n v="0"/>
    <n v="0"/>
    <n v="0"/>
    <n v="0"/>
    <n v="0"/>
    <n v="0"/>
    <n v="0"/>
    <n v="0"/>
    <n v="0"/>
  </r>
  <r>
    <x v="1"/>
    <s v="AAM-SC/SC"/>
    <x v="31"/>
    <s v="HOSUR"/>
    <x v="0"/>
    <x v="10"/>
    <n v="0"/>
    <n v="0"/>
    <n v="26"/>
    <n v="0"/>
    <n v="26"/>
    <n v="118"/>
    <n v="0"/>
    <n v="2"/>
    <n v="0"/>
    <n v="13"/>
    <n v="13"/>
    <n v="21"/>
    <n v="0"/>
    <n v="0"/>
    <x v="0"/>
    <n v="0"/>
    <n v="0"/>
    <n v="0"/>
    <n v="0"/>
    <n v="0"/>
    <n v="0"/>
    <n v="0"/>
    <n v="0"/>
    <n v="0"/>
    <n v="0"/>
    <n v="0"/>
    <n v="0"/>
    <n v="0"/>
    <n v="0"/>
    <n v="0"/>
    <n v="0"/>
    <n v="0"/>
    <n v="0"/>
    <n v="0"/>
    <n v="0"/>
    <n v="0"/>
    <n v="0"/>
    <n v="0"/>
    <n v="0"/>
    <n v="0"/>
    <n v="0"/>
    <n v="13"/>
    <n v="0"/>
    <n v="0"/>
    <n v="0"/>
  </r>
  <r>
    <x v="1"/>
    <s v="AAM-SC/SC"/>
    <x v="31"/>
    <s v="IDURU-KUNJADI"/>
    <x v="0"/>
    <x v="22"/>
    <n v="0"/>
    <n v="0"/>
    <n v="15"/>
    <n v="0"/>
    <n v="15"/>
    <n v="77"/>
    <n v="0"/>
    <n v="0"/>
    <n v="0"/>
    <n v="10"/>
    <n v="10"/>
    <n v="14"/>
    <n v="0"/>
    <n v="0"/>
    <x v="0"/>
    <n v="0"/>
    <n v="0"/>
    <n v="0"/>
    <n v="0"/>
    <n v="0"/>
    <n v="0"/>
    <n v="0"/>
    <n v="0"/>
    <n v="0"/>
    <n v="0"/>
    <n v="0"/>
    <n v="0"/>
    <n v="0"/>
    <n v="0"/>
    <n v="0"/>
    <n v="0"/>
    <n v="0"/>
    <n v="0"/>
    <n v="0"/>
    <n v="0"/>
    <n v="0"/>
    <n v="0"/>
    <n v="0"/>
    <n v="0"/>
    <n v="0"/>
    <n v="0"/>
    <n v="4"/>
    <n v="0"/>
    <n v="0"/>
    <n v="0"/>
  </r>
  <r>
    <x v="1"/>
    <s v="AAM-SC/SC"/>
    <x v="41"/>
    <s v="JAPTI"/>
    <x v="0"/>
    <x v="1"/>
    <n v="0"/>
    <n v="0"/>
    <n v="24"/>
    <n v="0"/>
    <n v="24"/>
    <n v="123"/>
    <n v="0"/>
    <n v="3"/>
    <n v="0"/>
    <n v="23"/>
    <n v="23"/>
    <n v="17"/>
    <n v="0"/>
    <n v="0"/>
    <x v="0"/>
    <n v="0"/>
    <n v="0"/>
    <n v="0"/>
    <n v="0"/>
    <n v="0"/>
    <n v="0"/>
    <n v="0"/>
    <n v="0"/>
    <n v="0"/>
    <n v="0"/>
    <n v="0"/>
    <n v="0"/>
    <n v="0"/>
    <n v="0"/>
    <n v="0"/>
    <n v="0"/>
    <n v="0"/>
    <n v="0"/>
    <n v="0"/>
    <n v="0"/>
    <n v="0"/>
    <n v="0"/>
    <n v="0"/>
    <n v="0"/>
    <n v="0"/>
    <n v="0"/>
    <n v="4"/>
    <n v="0"/>
    <n v="0"/>
    <n v="0"/>
  </r>
  <r>
    <x v="1"/>
    <s v="AAM-SC/SC"/>
    <x v="43"/>
    <s v="KALAVARA"/>
    <x v="0"/>
    <x v="17"/>
    <n v="0"/>
    <n v="0"/>
    <n v="33"/>
    <n v="0"/>
    <n v="33"/>
    <n v="228"/>
    <n v="6"/>
    <n v="6"/>
    <n v="1"/>
    <n v="23"/>
    <n v="23"/>
    <n v="23"/>
    <n v="0"/>
    <n v="0"/>
    <x v="0"/>
    <n v="0"/>
    <n v="0"/>
    <n v="0"/>
    <n v="9"/>
    <n v="0"/>
    <n v="0"/>
    <n v="0"/>
    <n v="0"/>
    <n v="0"/>
    <n v="0"/>
    <n v="0"/>
    <n v="0"/>
    <n v="0"/>
    <n v="0"/>
    <n v="0"/>
    <n v="0"/>
    <n v="0"/>
    <n v="0"/>
    <n v="0"/>
    <n v="0"/>
    <n v="0"/>
    <n v="0"/>
    <n v="0"/>
    <n v="0"/>
    <n v="0"/>
    <n v="0"/>
    <n v="14"/>
    <n v="1"/>
    <n v="0"/>
    <n v="0"/>
  </r>
  <r>
    <x v="1"/>
    <s v="AAM-SC/SC"/>
    <x v="32"/>
    <s v="KALUNJE"/>
    <x v="0"/>
    <x v="20"/>
    <n v="0"/>
    <n v="0"/>
    <n v="18"/>
    <n v="0"/>
    <n v="16"/>
    <n v="123"/>
    <n v="12"/>
    <n v="8"/>
    <n v="4"/>
    <n v="17"/>
    <n v="17"/>
    <n v="21"/>
    <n v="0"/>
    <n v="0"/>
    <x v="0"/>
    <n v="0"/>
    <n v="0"/>
    <n v="0"/>
    <n v="0"/>
    <n v="0"/>
    <n v="0"/>
    <n v="0"/>
    <n v="0"/>
    <n v="0"/>
    <n v="0"/>
    <n v="0"/>
    <n v="0"/>
    <n v="0"/>
    <n v="0"/>
    <n v="0"/>
    <n v="0"/>
    <n v="0"/>
    <n v="0"/>
    <n v="48"/>
    <n v="0"/>
    <n v="0"/>
    <n v="0"/>
    <n v="0"/>
    <n v="0"/>
    <n v="0"/>
    <n v="0"/>
    <n v="6"/>
    <n v="0"/>
    <n v="0"/>
    <n v="0"/>
  </r>
  <r>
    <x v="1"/>
    <s v="AAM-SC/SC"/>
    <x v="34"/>
    <s v="KANDAVARA"/>
    <x v="0"/>
    <x v="27"/>
    <n v="0"/>
    <n v="0"/>
    <n v="38"/>
    <n v="0"/>
    <n v="34"/>
    <n v="348"/>
    <n v="0"/>
    <n v="0"/>
    <n v="0"/>
    <n v="31"/>
    <n v="31"/>
    <n v="38"/>
    <n v="0"/>
    <n v="0"/>
    <x v="0"/>
    <n v="0"/>
    <n v="0"/>
    <n v="0"/>
    <n v="0"/>
    <n v="0"/>
    <n v="0"/>
    <n v="0"/>
    <n v="0"/>
    <n v="0"/>
    <n v="0"/>
    <n v="0"/>
    <n v="0"/>
    <n v="0"/>
    <n v="0"/>
    <n v="0"/>
    <n v="0"/>
    <n v="0"/>
    <n v="0"/>
    <n v="0"/>
    <n v="0"/>
    <n v="0"/>
    <n v="0"/>
    <n v="0"/>
    <n v="0"/>
    <n v="0"/>
    <n v="0"/>
    <n v="0"/>
    <n v="0"/>
    <n v="0"/>
    <n v="0"/>
  </r>
  <r>
    <x v="1"/>
    <s v="AAM-SC/SC"/>
    <x v="36"/>
    <s v="KARKUNJI"/>
    <x v="0"/>
    <x v="2"/>
    <n v="0"/>
    <n v="0"/>
    <n v="51"/>
    <n v="0"/>
    <n v="51"/>
    <n v="251"/>
    <n v="3"/>
    <n v="9"/>
    <n v="2"/>
    <n v="49"/>
    <n v="49"/>
    <n v="4"/>
    <n v="0"/>
    <n v="0"/>
    <x v="0"/>
    <n v="0"/>
    <n v="0"/>
    <n v="0"/>
    <n v="0"/>
    <n v="0"/>
    <n v="0"/>
    <n v="0"/>
    <n v="0"/>
    <n v="0"/>
    <n v="0"/>
    <n v="0"/>
    <n v="0"/>
    <n v="0"/>
    <n v="0"/>
    <n v="0"/>
    <n v="0"/>
    <n v="0"/>
    <n v="0"/>
    <n v="0"/>
    <n v="0"/>
    <n v="0"/>
    <n v="0"/>
    <n v="0"/>
    <n v="0"/>
    <n v="0"/>
    <n v="0"/>
    <n v="0"/>
    <n v="0"/>
    <n v="0"/>
    <n v="0"/>
  </r>
  <r>
    <x v="1"/>
    <s v="AAM-SC/SC"/>
    <x v="39"/>
    <s v="KATTEBLETHALURU"/>
    <x v="0"/>
    <x v="35"/>
    <n v="0"/>
    <n v="0"/>
    <n v="37"/>
    <n v="0"/>
    <n v="34"/>
    <n v="188"/>
    <n v="3"/>
    <n v="9"/>
    <n v="0"/>
    <n v="26"/>
    <n v="26"/>
    <n v="26"/>
    <n v="0"/>
    <n v="0"/>
    <x v="0"/>
    <n v="0"/>
    <n v="0"/>
    <n v="0"/>
    <n v="0"/>
    <n v="0"/>
    <n v="0"/>
    <n v="0"/>
    <n v="0"/>
    <n v="0"/>
    <n v="0"/>
    <n v="0"/>
    <n v="0"/>
    <n v="0"/>
    <n v="0"/>
    <n v="0"/>
    <n v="0"/>
    <n v="0"/>
    <n v="0"/>
    <n v="0"/>
    <n v="0"/>
    <n v="0"/>
    <n v="0"/>
    <n v="0"/>
    <n v="0"/>
    <n v="0"/>
    <n v="0"/>
    <n v="0"/>
    <n v="0"/>
    <n v="0"/>
    <n v="0"/>
  </r>
  <r>
    <x v="1"/>
    <s v="AAM-SC/SC"/>
    <x v="35"/>
    <s v="KAVRADI"/>
    <x v="0"/>
    <x v="55"/>
    <n v="0"/>
    <n v="0"/>
    <n v="64"/>
    <n v="0"/>
    <n v="59"/>
    <n v="409"/>
    <n v="3"/>
    <n v="4"/>
    <n v="0"/>
    <n v="54"/>
    <n v="54"/>
    <n v="61"/>
    <n v="0"/>
    <n v="0"/>
    <x v="0"/>
    <n v="0"/>
    <n v="0"/>
    <n v="0"/>
    <n v="0"/>
    <n v="0"/>
    <n v="0"/>
    <n v="0"/>
    <n v="0"/>
    <n v="0"/>
    <n v="0"/>
    <n v="0"/>
    <n v="0"/>
    <n v="0"/>
    <n v="0"/>
    <n v="0"/>
    <n v="0"/>
    <n v="0"/>
    <n v="0"/>
    <n v="0"/>
    <n v="0"/>
    <n v="0"/>
    <n v="0"/>
    <n v="0"/>
    <n v="0"/>
    <n v="0"/>
    <n v="0"/>
    <n v="27"/>
    <n v="0"/>
    <n v="0"/>
    <n v="0"/>
  </r>
  <r>
    <x v="1"/>
    <s v="AAM-SC/SC"/>
    <x v="37"/>
    <s v="KEDURU"/>
    <x v="0"/>
    <x v="0"/>
    <n v="0"/>
    <n v="0"/>
    <n v="21"/>
    <n v="0"/>
    <n v="16"/>
    <n v="26"/>
    <n v="0"/>
    <n v="0"/>
    <n v="0"/>
    <n v="15"/>
    <n v="14"/>
    <n v="10"/>
    <n v="0"/>
    <n v="0"/>
    <x v="0"/>
    <n v="0"/>
    <n v="0"/>
    <n v="0"/>
    <n v="0"/>
    <n v="0"/>
    <n v="0"/>
    <n v="0"/>
    <n v="0"/>
    <n v="0"/>
    <n v="0"/>
    <n v="0"/>
    <n v="0"/>
    <n v="0"/>
    <n v="0"/>
    <n v="0"/>
    <n v="0"/>
    <n v="0"/>
    <n v="0"/>
    <n v="0"/>
    <n v="0"/>
    <n v="0"/>
    <n v="0"/>
    <n v="0"/>
    <n v="0"/>
    <n v="0"/>
    <n v="0"/>
    <n v="6"/>
    <n v="0"/>
    <n v="0"/>
    <n v="0"/>
  </r>
  <r>
    <x v="1"/>
    <s v="AAM-SC/SC"/>
    <x v="36"/>
    <s v="KENCHANURU"/>
    <x v="0"/>
    <x v="56"/>
    <n v="0"/>
    <n v="0"/>
    <n v="43"/>
    <n v="0"/>
    <n v="43"/>
    <n v="203"/>
    <n v="4"/>
    <n v="8"/>
    <n v="0"/>
    <n v="42"/>
    <n v="42"/>
    <n v="2"/>
    <n v="0"/>
    <n v="0"/>
    <x v="0"/>
    <n v="0"/>
    <n v="0"/>
    <n v="0"/>
    <n v="0"/>
    <n v="0"/>
    <n v="0"/>
    <n v="0"/>
    <n v="0"/>
    <n v="0"/>
    <n v="0"/>
    <n v="0"/>
    <n v="0"/>
    <n v="0"/>
    <n v="0"/>
    <n v="0"/>
    <n v="0"/>
    <n v="0"/>
    <n v="0"/>
    <n v="0"/>
    <n v="0"/>
    <n v="0"/>
    <n v="0"/>
    <n v="0"/>
    <n v="0"/>
    <n v="0"/>
    <n v="0"/>
    <n v="0"/>
    <n v="0"/>
    <n v="0"/>
    <n v="0"/>
  </r>
  <r>
    <x v="1"/>
    <s v="AAM-SC/SC"/>
    <x v="42"/>
    <s v="KODI-A"/>
    <x v="0"/>
    <x v="44"/>
    <n v="0"/>
    <n v="0"/>
    <n v="14"/>
    <n v="0"/>
    <n v="14"/>
    <n v="101"/>
    <n v="0"/>
    <n v="0"/>
    <n v="0"/>
    <n v="9"/>
    <n v="13"/>
    <n v="7"/>
    <n v="0"/>
    <n v="0"/>
    <x v="0"/>
    <n v="0"/>
    <n v="0"/>
    <n v="0"/>
    <n v="0"/>
    <n v="0"/>
    <n v="0"/>
    <n v="0"/>
    <n v="0"/>
    <n v="0"/>
    <n v="0"/>
    <n v="0"/>
    <n v="0"/>
    <n v="0"/>
    <n v="0"/>
    <n v="0"/>
    <n v="0"/>
    <n v="0"/>
    <n v="0"/>
    <n v="0"/>
    <n v="0"/>
    <n v="0"/>
    <n v="0"/>
    <n v="0"/>
    <n v="0"/>
    <n v="0"/>
    <n v="0"/>
    <n v="0"/>
    <n v="0"/>
    <n v="0"/>
    <n v="0"/>
  </r>
  <r>
    <x v="1"/>
    <s v="AAM-SC/SC"/>
    <x v="42"/>
    <s v="KODI -B"/>
    <x v="0"/>
    <x v="24"/>
    <n v="0"/>
    <n v="0"/>
    <n v="39"/>
    <n v="0"/>
    <n v="39"/>
    <n v="265"/>
    <n v="0"/>
    <n v="0"/>
    <n v="0"/>
    <n v="37"/>
    <n v="37"/>
    <n v="19"/>
    <n v="2"/>
    <n v="0"/>
    <x v="0"/>
    <n v="0"/>
    <n v="0"/>
    <n v="0"/>
    <n v="0"/>
    <n v="0"/>
    <n v="0"/>
    <n v="0"/>
    <n v="0"/>
    <n v="0"/>
    <n v="0"/>
    <n v="0"/>
    <n v="0"/>
    <n v="0"/>
    <n v="0"/>
    <n v="0"/>
    <n v="0"/>
    <n v="0"/>
    <n v="0"/>
    <n v="0"/>
    <n v="0"/>
    <n v="0"/>
    <n v="0"/>
    <n v="0"/>
    <n v="0"/>
    <n v="0"/>
    <n v="0"/>
    <n v="0"/>
    <n v="0"/>
    <n v="0"/>
    <n v="0"/>
  </r>
  <r>
    <x v="1"/>
    <s v="AAM-SC/SC"/>
    <x v="30"/>
    <s v="KODLADI"/>
    <x v="0"/>
    <x v="19"/>
    <n v="0"/>
    <n v="0"/>
    <n v="19"/>
    <n v="0"/>
    <n v="18"/>
    <n v="121"/>
    <n v="0"/>
    <n v="0"/>
    <n v="0"/>
    <n v="12"/>
    <n v="14"/>
    <n v="17"/>
    <n v="1"/>
    <n v="0"/>
    <x v="0"/>
    <n v="0"/>
    <n v="0"/>
    <n v="0"/>
    <n v="0"/>
    <n v="0"/>
    <n v="0"/>
    <n v="0"/>
    <n v="0"/>
    <n v="0"/>
    <n v="0"/>
    <n v="0"/>
    <n v="0"/>
    <n v="0"/>
    <n v="0"/>
    <n v="0"/>
    <n v="0"/>
    <n v="0"/>
    <n v="0"/>
    <n v="0"/>
    <n v="0"/>
    <n v="0"/>
    <n v="0"/>
    <n v="0"/>
    <n v="0"/>
    <n v="0"/>
    <n v="0"/>
    <n v="0"/>
    <n v="0"/>
    <n v="0"/>
    <n v="0"/>
  </r>
  <r>
    <x v="1"/>
    <s v="AAM-SC/SC"/>
    <x v="34"/>
    <s v="KONI"/>
    <x v="0"/>
    <x v="42"/>
    <n v="0"/>
    <n v="0"/>
    <n v="32"/>
    <n v="0"/>
    <n v="28"/>
    <n v="330"/>
    <n v="0"/>
    <n v="2"/>
    <n v="0"/>
    <n v="35"/>
    <n v="35"/>
    <n v="32"/>
    <n v="0"/>
    <n v="0"/>
    <x v="0"/>
    <n v="0"/>
    <n v="0"/>
    <n v="0"/>
    <n v="0"/>
    <n v="0"/>
    <n v="0"/>
    <n v="0"/>
    <n v="0"/>
    <n v="0"/>
    <n v="0"/>
    <n v="0"/>
    <n v="0"/>
    <n v="0"/>
    <n v="0"/>
    <n v="0"/>
    <n v="0"/>
    <n v="0"/>
    <n v="0"/>
    <n v="0"/>
    <n v="0"/>
    <n v="0"/>
    <n v="0"/>
    <n v="0"/>
    <n v="0"/>
    <n v="0"/>
    <n v="0"/>
    <n v="0"/>
    <n v="0"/>
    <n v="0"/>
    <n v="0"/>
  </r>
  <r>
    <x v="1"/>
    <s v="AAM-SC/SC"/>
    <x v="38"/>
    <s v="KORAWADI"/>
    <x v="0"/>
    <x v="57"/>
    <n v="0"/>
    <n v="0"/>
    <n v="50"/>
    <n v="0"/>
    <n v="48"/>
    <n v="254"/>
    <n v="0"/>
    <n v="0"/>
    <n v="0"/>
    <n v="40"/>
    <n v="40"/>
    <n v="49"/>
    <n v="0"/>
    <n v="0"/>
    <x v="0"/>
    <n v="0"/>
    <n v="0"/>
    <n v="38"/>
    <n v="2"/>
    <n v="0"/>
    <n v="0"/>
    <n v="0"/>
    <n v="0"/>
    <n v="0"/>
    <n v="0"/>
    <n v="0"/>
    <n v="0"/>
    <n v="0"/>
    <n v="0"/>
    <n v="0"/>
    <n v="0"/>
    <n v="0"/>
    <n v="0"/>
    <n v="0"/>
    <n v="0"/>
    <n v="0"/>
    <n v="0"/>
    <n v="0"/>
    <n v="0"/>
    <n v="0"/>
    <n v="0"/>
    <n v="17"/>
    <n v="0"/>
    <n v="0"/>
    <n v="0"/>
  </r>
  <r>
    <x v="1"/>
    <s v="AAM-SC/SC"/>
    <x v="43"/>
    <s v="KORGI"/>
    <x v="0"/>
    <x v="15"/>
    <n v="0"/>
    <n v="0"/>
    <n v="30"/>
    <n v="0"/>
    <n v="29"/>
    <n v="175"/>
    <n v="0"/>
    <n v="0"/>
    <n v="0"/>
    <n v="33"/>
    <n v="33"/>
    <n v="33"/>
    <n v="0"/>
    <n v="0"/>
    <x v="0"/>
    <n v="0"/>
    <n v="0"/>
    <n v="0"/>
    <n v="2"/>
    <n v="0"/>
    <n v="0"/>
    <n v="0"/>
    <n v="0"/>
    <n v="0"/>
    <n v="0"/>
    <n v="0"/>
    <n v="0"/>
    <n v="0"/>
    <n v="0"/>
    <n v="0"/>
    <n v="0"/>
    <n v="0"/>
    <n v="0"/>
    <n v="0"/>
    <n v="0"/>
    <n v="0"/>
    <n v="0"/>
    <n v="0"/>
    <n v="0"/>
    <n v="0"/>
    <n v="0"/>
    <n v="11"/>
    <n v="1"/>
    <n v="0"/>
    <n v="0"/>
  </r>
  <r>
    <x v="1"/>
    <s v="AAM-SC/SC"/>
    <x v="44"/>
    <s v="KOTESHWAR-A"/>
    <x v="0"/>
    <x v="58"/>
    <n v="0"/>
    <n v="0"/>
    <n v="61"/>
    <n v="0"/>
    <n v="61"/>
    <n v="360"/>
    <n v="0"/>
    <n v="0"/>
    <n v="0"/>
    <n v="43"/>
    <n v="43"/>
    <n v="4"/>
    <n v="0"/>
    <n v="0"/>
    <x v="0"/>
    <n v="0"/>
    <n v="0"/>
    <n v="0"/>
    <n v="0"/>
    <n v="0"/>
    <n v="0"/>
    <n v="0"/>
    <n v="0"/>
    <n v="0"/>
    <n v="0"/>
    <n v="0"/>
    <n v="0"/>
    <n v="0"/>
    <n v="0"/>
    <n v="0"/>
    <n v="0"/>
    <n v="0"/>
    <n v="0"/>
    <n v="0"/>
    <n v="0"/>
    <n v="0"/>
    <n v="0"/>
    <n v="0"/>
    <n v="0"/>
    <n v="0"/>
    <n v="0"/>
    <n v="0"/>
    <n v="0"/>
    <n v="0"/>
    <n v="0"/>
  </r>
  <r>
    <x v="1"/>
    <s v="AAM-SC/SC"/>
    <x v="44"/>
    <s v="KOTESHWARA B"/>
    <x v="0"/>
    <x v="51"/>
    <n v="0"/>
    <n v="0"/>
    <n v="55"/>
    <n v="0"/>
    <n v="56"/>
    <n v="382"/>
    <n v="7"/>
    <n v="5"/>
    <n v="1"/>
    <n v="39"/>
    <n v="39"/>
    <n v="6"/>
    <n v="0"/>
    <n v="0"/>
    <x v="0"/>
    <n v="0"/>
    <n v="0"/>
    <n v="0"/>
    <n v="0"/>
    <n v="0"/>
    <n v="0"/>
    <n v="0"/>
    <n v="0"/>
    <n v="0"/>
    <n v="0"/>
    <n v="0"/>
    <n v="0"/>
    <n v="0"/>
    <n v="0"/>
    <n v="0"/>
    <n v="0"/>
    <n v="0"/>
    <n v="0"/>
    <n v="0"/>
    <n v="0"/>
    <n v="0"/>
    <n v="0"/>
    <n v="0"/>
    <n v="0"/>
    <n v="0"/>
    <n v="0"/>
    <n v="0"/>
    <n v="0"/>
    <n v="0"/>
    <n v="0"/>
  </r>
  <r>
    <x v="1"/>
    <s v="AAM-SC/SC"/>
    <x v="38"/>
    <s v="KUMBASHI"/>
    <x v="0"/>
    <x v="51"/>
    <n v="0"/>
    <n v="0"/>
    <n v="56"/>
    <n v="0"/>
    <n v="54"/>
    <n v="329"/>
    <n v="0"/>
    <n v="0"/>
    <n v="0"/>
    <n v="49"/>
    <n v="49"/>
    <n v="55"/>
    <n v="0"/>
    <n v="0"/>
    <x v="0"/>
    <n v="0"/>
    <n v="0"/>
    <n v="44"/>
    <n v="6"/>
    <n v="0"/>
    <n v="0"/>
    <n v="0"/>
    <n v="0"/>
    <n v="0"/>
    <n v="0"/>
    <n v="0"/>
    <n v="0"/>
    <n v="0"/>
    <n v="0"/>
    <n v="0"/>
    <n v="0"/>
    <n v="0"/>
    <n v="0"/>
    <n v="0"/>
    <n v="0"/>
    <n v="0"/>
    <n v="0"/>
    <n v="0"/>
    <n v="0"/>
    <n v="0"/>
    <n v="0"/>
    <n v="23"/>
    <n v="0"/>
    <n v="0"/>
    <n v="0"/>
  </r>
  <r>
    <x v="1"/>
    <s v="AAM-SC/SC"/>
    <x v="40"/>
    <s v="KUNDA-BARANDADI"/>
    <x v="0"/>
    <x v="11"/>
    <n v="0"/>
    <n v="0"/>
    <n v="16"/>
    <n v="0"/>
    <n v="16"/>
    <n v="92"/>
    <n v="7"/>
    <n v="3"/>
    <n v="0"/>
    <n v="12"/>
    <n v="12"/>
    <n v="15"/>
    <n v="0"/>
    <n v="0"/>
    <x v="0"/>
    <n v="0"/>
    <n v="0"/>
    <n v="0"/>
    <n v="0"/>
    <n v="0"/>
    <n v="0"/>
    <n v="0"/>
    <n v="0"/>
    <n v="0"/>
    <n v="0"/>
    <n v="0"/>
    <n v="0"/>
    <n v="0"/>
    <n v="0"/>
    <n v="0"/>
    <n v="0"/>
    <n v="0"/>
    <n v="0"/>
    <n v="0"/>
    <n v="0"/>
    <n v="0"/>
    <n v="0"/>
    <n v="0"/>
    <n v="0"/>
    <n v="0"/>
    <n v="0"/>
    <n v="3"/>
    <n v="0"/>
    <n v="0"/>
    <n v="0"/>
  </r>
  <r>
    <x v="1"/>
    <s v="AAM-SC/SC"/>
    <x v="45"/>
    <s v="Kundapura kasaba"/>
    <x v="0"/>
    <x v="46"/>
    <n v="0"/>
    <n v="0"/>
    <n v="174"/>
    <n v="0"/>
    <n v="173"/>
    <n v="953"/>
    <n v="2"/>
    <n v="2"/>
    <n v="1"/>
    <n v="153"/>
    <n v="153"/>
    <n v="0"/>
    <n v="0"/>
    <n v="0"/>
    <x v="0"/>
    <n v="0"/>
    <n v="0"/>
    <n v="35"/>
    <n v="0"/>
    <n v="0"/>
    <n v="0"/>
    <n v="0"/>
    <n v="0"/>
    <n v="0"/>
    <n v="0"/>
    <n v="0"/>
    <n v="0"/>
    <n v="0"/>
    <n v="0"/>
    <n v="0"/>
    <n v="0"/>
    <n v="0"/>
    <n v="0"/>
    <n v="0"/>
    <n v="0"/>
    <n v="0"/>
    <n v="0"/>
    <n v="0"/>
    <n v="0"/>
    <n v="0"/>
    <n v="0"/>
    <n v="0"/>
    <n v="0"/>
    <n v="0"/>
    <n v="0"/>
  </r>
  <r>
    <x v="1"/>
    <s v="AAM-SC/SC"/>
    <x v="32"/>
    <s v="MACHATTU"/>
    <x v="0"/>
    <x v="15"/>
    <n v="0"/>
    <n v="1"/>
    <n v="29"/>
    <n v="0"/>
    <n v="30"/>
    <n v="113"/>
    <n v="2"/>
    <n v="0"/>
    <n v="0"/>
    <n v="16"/>
    <n v="16"/>
    <n v="18"/>
    <n v="0"/>
    <n v="0"/>
    <x v="0"/>
    <n v="0"/>
    <n v="0"/>
    <n v="0"/>
    <n v="0"/>
    <n v="0"/>
    <n v="0"/>
    <n v="0"/>
    <n v="0"/>
    <n v="0"/>
    <n v="0"/>
    <n v="0"/>
    <n v="0"/>
    <n v="0"/>
    <n v="0"/>
    <n v="0"/>
    <n v="0"/>
    <n v="0"/>
    <n v="0"/>
    <n v="42"/>
    <n v="0"/>
    <n v="0"/>
    <n v="0"/>
    <n v="0"/>
    <n v="0"/>
    <n v="0"/>
    <n v="0"/>
    <n v="4"/>
    <n v="0"/>
    <n v="0"/>
    <n v="0"/>
  </r>
  <r>
    <x v="1"/>
    <s v="AAM-SC/SC"/>
    <x v="41"/>
    <s v="MOLAHALLI"/>
    <x v="0"/>
    <x v="3"/>
    <n v="0"/>
    <n v="0"/>
    <n v="28"/>
    <n v="0"/>
    <n v="28"/>
    <n v="168"/>
    <n v="1"/>
    <n v="2"/>
    <n v="0"/>
    <n v="21"/>
    <n v="21"/>
    <n v="18"/>
    <n v="0"/>
    <n v="0"/>
    <x v="0"/>
    <n v="0"/>
    <n v="0"/>
    <n v="0"/>
    <n v="0"/>
    <n v="0"/>
    <n v="0"/>
    <n v="0"/>
    <n v="0"/>
    <n v="0"/>
    <n v="0"/>
    <n v="0"/>
    <n v="0"/>
    <n v="0"/>
    <n v="0"/>
    <n v="0"/>
    <n v="0"/>
    <n v="0"/>
    <n v="0"/>
    <n v="0"/>
    <n v="0"/>
    <n v="0"/>
    <n v="0"/>
    <n v="0"/>
    <n v="0"/>
    <n v="0"/>
    <n v="0"/>
    <n v="9"/>
    <n v="0"/>
    <n v="0"/>
    <n v="0"/>
  </r>
  <r>
    <x v="1"/>
    <s v="AAM-SC/SC"/>
    <x v="32"/>
    <s v="MUDUHALADI-28"/>
    <x v="0"/>
    <x v="24"/>
    <n v="0"/>
    <n v="0"/>
    <n v="39"/>
    <n v="0"/>
    <n v="38"/>
    <n v="213"/>
    <n v="7"/>
    <n v="5"/>
    <n v="0"/>
    <n v="21"/>
    <n v="21"/>
    <n v="28"/>
    <n v="0"/>
    <n v="0"/>
    <x v="0"/>
    <n v="0"/>
    <n v="0"/>
    <n v="0"/>
    <n v="0"/>
    <n v="0"/>
    <n v="0"/>
    <n v="0"/>
    <n v="0"/>
    <n v="0"/>
    <n v="0"/>
    <n v="0"/>
    <n v="0"/>
    <n v="0"/>
    <n v="0"/>
    <n v="0"/>
    <n v="0"/>
    <n v="0"/>
    <n v="0"/>
    <n v="87"/>
    <n v="0"/>
    <n v="0"/>
    <n v="0"/>
    <n v="0"/>
    <n v="0"/>
    <n v="0"/>
    <n v="0"/>
    <n v="10"/>
    <n v="0"/>
    <n v="0"/>
    <n v="0"/>
  </r>
  <r>
    <x v="1"/>
    <s v="AAM-SC/SC"/>
    <x v="40"/>
    <s v="NUJADI"/>
    <x v="0"/>
    <x v="1"/>
    <n v="0"/>
    <n v="0"/>
    <n v="24"/>
    <n v="0"/>
    <n v="24"/>
    <n v="127"/>
    <n v="5"/>
    <n v="6"/>
    <n v="0"/>
    <n v="20"/>
    <n v="20"/>
    <n v="17"/>
    <n v="0"/>
    <n v="0"/>
    <x v="0"/>
    <n v="0"/>
    <n v="0"/>
    <n v="0"/>
    <n v="0"/>
    <n v="0"/>
    <n v="0"/>
    <n v="0"/>
    <n v="0"/>
    <n v="0"/>
    <n v="0"/>
    <n v="0"/>
    <n v="0"/>
    <n v="0"/>
    <n v="0"/>
    <n v="0"/>
    <n v="0"/>
    <n v="0"/>
    <n v="0"/>
    <n v="0"/>
    <n v="0"/>
    <n v="0"/>
    <n v="0"/>
    <n v="0"/>
    <n v="0"/>
    <n v="0"/>
    <n v="0"/>
    <n v="0"/>
    <n v="0"/>
    <n v="0"/>
    <n v="0"/>
  </r>
  <r>
    <x v="1"/>
    <s v="AAM-SC/SC"/>
    <x v="32"/>
    <s v="PADUHALADI-78"/>
    <x v="0"/>
    <x v="0"/>
    <n v="0"/>
    <n v="0"/>
    <n v="21"/>
    <n v="0"/>
    <n v="20"/>
    <n v="139"/>
    <n v="7"/>
    <n v="3"/>
    <n v="0"/>
    <n v="11"/>
    <n v="11"/>
    <n v="12"/>
    <n v="0"/>
    <n v="0"/>
    <x v="0"/>
    <n v="0"/>
    <n v="0"/>
    <n v="0"/>
    <n v="0"/>
    <n v="0"/>
    <n v="0"/>
    <n v="0"/>
    <n v="0"/>
    <n v="0"/>
    <n v="0"/>
    <n v="0"/>
    <n v="0"/>
    <n v="0"/>
    <n v="0"/>
    <n v="0"/>
    <n v="0"/>
    <n v="0"/>
    <n v="0"/>
    <n v="38"/>
    <n v="0"/>
    <n v="0"/>
    <n v="0"/>
    <n v="0"/>
    <n v="0"/>
    <n v="0"/>
    <n v="0"/>
    <n v="7"/>
    <n v="0"/>
    <n v="0"/>
    <n v="0"/>
  </r>
  <r>
    <x v="1"/>
    <s v="AAM-SC/SC"/>
    <x v="32"/>
    <s v="RAITTADI"/>
    <x v="0"/>
    <x v="19"/>
    <n v="0"/>
    <n v="0"/>
    <n v="18"/>
    <n v="0"/>
    <n v="18"/>
    <n v="124"/>
    <n v="9"/>
    <n v="5"/>
    <n v="0"/>
    <n v="20"/>
    <n v="20"/>
    <n v="22"/>
    <n v="0"/>
    <n v="0"/>
    <x v="0"/>
    <n v="0"/>
    <n v="0"/>
    <n v="0"/>
    <n v="0"/>
    <n v="0"/>
    <n v="0"/>
    <n v="0"/>
    <n v="0"/>
    <n v="0"/>
    <n v="0"/>
    <n v="0"/>
    <n v="0"/>
    <n v="0"/>
    <n v="0"/>
    <n v="0"/>
    <n v="0"/>
    <n v="0"/>
    <n v="0"/>
    <n v="43"/>
    <n v="0"/>
    <n v="0"/>
    <n v="0"/>
    <n v="0"/>
    <n v="0"/>
    <n v="0"/>
    <n v="0"/>
    <n v="7"/>
    <n v="0"/>
    <n v="0"/>
    <n v="0"/>
  </r>
  <r>
    <x v="1"/>
    <s v="AAM-SC/SC"/>
    <x v="33"/>
    <s v="SHANKARANARAYANA"/>
    <x v="0"/>
    <x v="43"/>
    <n v="0"/>
    <n v="0"/>
    <n v="57"/>
    <n v="0"/>
    <n v="55"/>
    <n v="266"/>
    <n v="0"/>
    <n v="0"/>
    <n v="0"/>
    <n v="43"/>
    <n v="43"/>
    <n v="3"/>
    <n v="0"/>
    <n v="0"/>
    <x v="0"/>
    <n v="0"/>
    <n v="0"/>
    <n v="0"/>
    <n v="2"/>
    <n v="0"/>
    <n v="0"/>
    <n v="0"/>
    <n v="0"/>
    <n v="0"/>
    <n v="0"/>
    <n v="0"/>
    <n v="0"/>
    <n v="0"/>
    <n v="0"/>
    <n v="0"/>
    <n v="0"/>
    <n v="0"/>
    <n v="0"/>
    <n v="0"/>
    <n v="0"/>
    <n v="0"/>
    <n v="0"/>
    <n v="0"/>
    <n v="0"/>
    <n v="0"/>
    <n v="0"/>
    <n v="3"/>
    <n v="0"/>
    <n v="0"/>
    <n v="0"/>
  </r>
  <r>
    <x v="1"/>
    <s v="AAM-SC/SC"/>
    <x v="30"/>
    <s v="SIDDAPUR-A"/>
    <x v="0"/>
    <x v="38"/>
    <n v="0"/>
    <n v="0"/>
    <n v="44"/>
    <n v="0"/>
    <n v="44"/>
    <n v="201"/>
    <n v="0"/>
    <n v="0"/>
    <n v="0"/>
    <n v="31"/>
    <n v="44"/>
    <n v="33"/>
    <n v="11"/>
    <n v="0"/>
    <x v="0"/>
    <n v="0"/>
    <n v="0"/>
    <n v="0"/>
    <n v="1"/>
    <n v="0"/>
    <n v="0"/>
    <n v="0"/>
    <n v="0"/>
    <n v="0"/>
    <n v="0"/>
    <n v="0"/>
    <n v="0"/>
    <n v="0"/>
    <n v="0"/>
    <n v="0"/>
    <n v="0"/>
    <n v="0"/>
    <n v="0"/>
    <n v="0"/>
    <n v="0"/>
    <n v="0"/>
    <n v="0"/>
    <n v="0"/>
    <n v="0"/>
    <n v="0"/>
    <n v="0"/>
    <n v="2"/>
    <n v="0"/>
    <n v="0"/>
    <n v="0"/>
  </r>
  <r>
    <x v="1"/>
    <s v="AAM-SC/SC"/>
    <x v="30"/>
    <s v="SIDDAPUR-B"/>
    <x v="0"/>
    <x v="35"/>
    <n v="0"/>
    <n v="0"/>
    <n v="37"/>
    <n v="0"/>
    <n v="36"/>
    <n v="212"/>
    <n v="0"/>
    <n v="0"/>
    <n v="0"/>
    <n v="36"/>
    <n v="35"/>
    <n v="20"/>
    <n v="15"/>
    <n v="0"/>
    <x v="0"/>
    <n v="0"/>
    <n v="0"/>
    <n v="0"/>
    <n v="0"/>
    <n v="0"/>
    <n v="0"/>
    <n v="0"/>
    <n v="0"/>
    <n v="0"/>
    <n v="0"/>
    <n v="0"/>
    <n v="0"/>
    <n v="0"/>
    <n v="0"/>
    <n v="0"/>
    <n v="0"/>
    <n v="0"/>
    <n v="0"/>
    <n v="0"/>
    <n v="0"/>
    <n v="0"/>
    <n v="0"/>
    <n v="0"/>
    <n v="0"/>
    <n v="0"/>
    <n v="0"/>
    <n v="0"/>
    <n v="0"/>
    <n v="0"/>
    <n v="0"/>
  </r>
  <r>
    <x v="1"/>
    <s v="AAM-SC/SC"/>
    <x v="38"/>
    <s v="TEKKATTE"/>
    <x v="0"/>
    <x v="59"/>
    <n v="0"/>
    <n v="0"/>
    <n v="60"/>
    <n v="0"/>
    <n v="55"/>
    <n v="336"/>
    <n v="1"/>
    <n v="0"/>
    <n v="0"/>
    <n v="54"/>
    <n v="54"/>
    <n v="66"/>
    <n v="0"/>
    <n v="0"/>
    <x v="0"/>
    <n v="0"/>
    <n v="0"/>
    <n v="48"/>
    <n v="3"/>
    <n v="0"/>
    <n v="0"/>
    <n v="0"/>
    <n v="0"/>
    <n v="0"/>
    <n v="0"/>
    <n v="0"/>
    <n v="0"/>
    <n v="0"/>
    <n v="0"/>
    <n v="0"/>
    <n v="0"/>
    <n v="0"/>
    <n v="0"/>
    <n v="0"/>
    <n v="0"/>
    <n v="0"/>
    <n v="0"/>
    <n v="0"/>
    <n v="0"/>
    <n v="0"/>
    <n v="0"/>
    <n v="24"/>
    <n v="0"/>
    <n v="0"/>
    <n v="0"/>
  </r>
  <r>
    <x v="1"/>
    <s v="AAM-SC/SC"/>
    <x v="39"/>
    <s v="THALLUR"/>
    <x v="0"/>
    <x v="35"/>
    <n v="0"/>
    <n v="0"/>
    <n v="37"/>
    <n v="0"/>
    <n v="35"/>
    <n v="137"/>
    <n v="6"/>
    <n v="6"/>
    <n v="0"/>
    <n v="26"/>
    <n v="26"/>
    <n v="19"/>
    <n v="0"/>
    <n v="0"/>
    <x v="0"/>
    <n v="0"/>
    <n v="0"/>
    <n v="0"/>
    <n v="0"/>
    <n v="0"/>
    <n v="0"/>
    <n v="0"/>
    <n v="0"/>
    <n v="0"/>
    <n v="0"/>
    <n v="0"/>
    <n v="0"/>
    <n v="0"/>
    <n v="0"/>
    <n v="0"/>
    <n v="0"/>
    <n v="0"/>
    <n v="0"/>
    <n v="0"/>
    <n v="0"/>
    <n v="0"/>
    <n v="0"/>
    <n v="0"/>
    <n v="0"/>
    <n v="0"/>
    <n v="0"/>
    <n v="0"/>
    <n v="0"/>
    <n v="0"/>
    <n v="0"/>
  </r>
  <r>
    <x v="1"/>
    <s v="AAM-SC/SC"/>
    <x v="30"/>
    <s v="ULLURU-78"/>
    <x v="0"/>
    <x v="56"/>
    <n v="0"/>
    <n v="0"/>
    <n v="43"/>
    <n v="0"/>
    <n v="43"/>
    <n v="192"/>
    <n v="0"/>
    <n v="0"/>
    <n v="0"/>
    <n v="38"/>
    <n v="38"/>
    <n v="38"/>
    <n v="12"/>
    <n v="0"/>
    <x v="0"/>
    <n v="0"/>
    <n v="0"/>
    <n v="0"/>
    <n v="0"/>
    <n v="0"/>
    <n v="0"/>
    <n v="0"/>
    <n v="0"/>
    <n v="0"/>
    <n v="0"/>
    <n v="0"/>
    <n v="0"/>
    <n v="0"/>
    <n v="0"/>
    <n v="0"/>
    <n v="0"/>
    <n v="0"/>
    <n v="0"/>
    <n v="0"/>
    <n v="0"/>
    <n v="0"/>
    <n v="0"/>
    <n v="0"/>
    <n v="0"/>
    <n v="0"/>
    <n v="0"/>
    <n v="0"/>
    <n v="0"/>
    <n v="0"/>
    <n v="0"/>
  </r>
  <r>
    <x v="1"/>
    <s v="AAM-SC/SC"/>
    <x v="37"/>
    <s v="ULTURU"/>
    <x v="0"/>
    <x v="22"/>
    <n v="0"/>
    <n v="0"/>
    <n v="15"/>
    <n v="0"/>
    <n v="13"/>
    <n v="36"/>
    <n v="3"/>
    <n v="3"/>
    <n v="1"/>
    <n v="7"/>
    <n v="8"/>
    <n v="0"/>
    <n v="1"/>
    <n v="0"/>
    <x v="0"/>
    <n v="0"/>
    <n v="0"/>
    <n v="0"/>
    <n v="0"/>
    <n v="0"/>
    <n v="0"/>
    <n v="0"/>
    <n v="0"/>
    <n v="0"/>
    <n v="0"/>
    <n v="0"/>
    <n v="0"/>
    <n v="0"/>
    <n v="0"/>
    <n v="0"/>
    <n v="0"/>
    <n v="0"/>
    <n v="0"/>
    <n v="0"/>
    <n v="0"/>
    <n v="0"/>
    <n v="0"/>
    <n v="0"/>
    <n v="0"/>
    <n v="0"/>
    <n v="0"/>
    <n v="8"/>
    <n v="0"/>
    <n v="0"/>
    <n v="0"/>
  </r>
  <r>
    <x v="1"/>
    <s v="AAM-SC/SC"/>
    <x v="39"/>
    <s v="UPPINAKUDRU"/>
    <x v="0"/>
    <x v="20"/>
    <n v="0"/>
    <n v="0"/>
    <n v="18"/>
    <n v="0"/>
    <n v="18"/>
    <n v="82"/>
    <n v="6"/>
    <n v="9"/>
    <n v="0"/>
    <n v="62"/>
    <n v="62"/>
    <n v="14"/>
    <n v="0"/>
    <n v="0"/>
    <x v="0"/>
    <n v="0"/>
    <n v="0"/>
    <n v="0"/>
    <n v="0"/>
    <n v="0"/>
    <n v="0"/>
    <n v="0"/>
    <n v="0"/>
    <n v="0"/>
    <n v="0"/>
    <n v="0"/>
    <n v="0"/>
    <n v="0"/>
    <n v="0"/>
    <n v="0"/>
    <n v="0"/>
    <n v="0"/>
    <n v="0"/>
    <n v="0"/>
    <n v="0"/>
    <n v="0"/>
    <n v="0"/>
    <n v="0"/>
    <n v="0"/>
    <n v="0"/>
    <n v="0"/>
    <n v="0"/>
    <n v="0"/>
    <n v="0"/>
    <n v="0"/>
  </r>
  <r>
    <x v="1"/>
    <s v="AAM-SC/SC"/>
    <x v="43"/>
    <s v="VAKKUVADI"/>
    <x v="0"/>
    <x v="33"/>
    <n v="0"/>
    <n v="0"/>
    <n v="53"/>
    <n v="0"/>
    <n v="52"/>
    <n v="303"/>
    <n v="9"/>
    <n v="7"/>
    <n v="3"/>
    <n v="48"/>
    <n v="48"/>
    <n v="48"/>
    <n v="0"/>
    <n v="0"/>
    <x v="0"/>
    <n v="0"/>
    <n v="0"/>
    <n v="2"/>
    <n v="4"/>
    <n v="0"/>
    <n v="0"/>
    <n v="0"/>
    <n v="0"/>
    <n v="0"/>
    <n v="0"/>
    <n v="0"/>
    <n v="0"/>
    <n v="0"/>
    <n v="0"/>
    <n v="0"/>
    <n v="0"/>
    <n v="0"/>
    <n v="0"/>
    <n v="0"/>
    <n v="0"/>
    <n v="0"/>
    <n v="0"/>
    <n v="0"/>
    <n v="0"/>
    <n v="0"/>
    <n v="0"/>
    <n v="18"/>
    <n v="1"/>
    <n v="0"/>
    <n v="0"/>
  </r>
  <r>
    <x v="1"/>
    <s v="AAM-SC/SC"/>
    <x v="36"/>
    <s v="VANDSE"/>
    <x v="0"/>
    <x v="17"/>
    <n v="0"/>
    <n v="0"/>
    <n v="33"/>
    <n v="0"/>
    <n v="33"/>
    <n v="138"/>
    <n v="0"/>
    <n v="0"/>
    <n v="0"/>
    <n v="20"/>
    <n v="20"/>
    <n v="0"/>
    <n v="0"/>
    <n v="0"/>
    <x v="0"/>
    <n v="0"/>
    <n v="0"/>
    <n v="0"/>
    <n v="0"/>
    <n v="0"/>
    <n v="0"/>
    <n v="0"/>
    <n v="0"/>
    <n v="0"/>
    <n v="0"/>
    <n v="0"/>
    <n v="0"/>
    <n v="0"/>
    <n v="0"/>
    <n v="0"/>
    <n v="0"/>
    <n v="0"/>
    <n v="0"/>
    <n v="0"/>
    <n v="0"/>
    <n v="0"/>
    <n v="0"/>
    <n v="0"/>
    <n v="0"/>
    <n v="0"/>
    <n v="0"/>
    <n v="0"/>
    <n v="0"/>
    <n v="0"/>
    <n v="0"/>
  </r>
  <r>
    <x v="1"/>
    <s v="AAM-SC/SC"/>
    <x v="30"/>
    <s v="VARAHI"/>
    <x v="0"/>
    <x v="60"/>
    <n v="0"/>
    <n v="0"/>
    <n v="8"/>
    <n v="0"/>
    <n v="8"/>
    <n v="51"/>
    <n v="0"/>
    <n v="0"/>
    <n v="0"/>
    <n v="8"/>
    <n v="8"/>
    <n v="10"/>
    <n v="1"/>
    <n v="0"/>
    <x v="0"/>
    <n v="0"/>
    <n v="0"/>
    <n v="0"/>
    <n v="0"/>
    <n v="0"/>
    <n v="0"/>
    <n v="0"/>
    <n v="0"/>
    <n v="0"/>
    <n v="0"/>
    <n v="0"/>
    <n v="0"/>
    <n v="0"/>
    <n v="0"/>
    <n v="0"/>
    <n v="0"/>
    <n v="0"/>
    <n v="0"/>
    <n v="0"/>
    <n v="0"/>
    <n v="0"/>
    <n v="0"/>
    <n v="0"/>
    <n v="0"/>
    <n v="0"/>
    <n v="0"/>
    <n v="0"/>
    <n v="0"/>
    <n v="0"/>
    <n v="0"/>
  </r>
  <r>
    <x v="1"/>
    <s v="AAM-SC/SC"/>
    <x v="41"/>
    <s v="YADADIMATHYADI"/>
    <x v="0"/>
    <x v="1"/>
    <n v="0"/>
    <n v="0"/>
    <n v="24"/>
    <n v="0"/>
    <n v="24"/>
    <n v="155"/>
    <n v="1"/>
    <n v="0"/>
    <n v="0"/>
    <n v="25"/>
    <n v="25"/>
    <n v="21"/>
    <n v="0"/>
    <n v="0"/>
    <x v="0"/>
    <n v="0"/>
    <n v="0"/>
    <n v="0"/>
    <n v="0"/>
    <n v="0"/>
    <n v="0"/>
    <n v="0"/>
    <n v="0"/>
    <n v="0"/>
    <n v="0"/>
    <n v="0"/>
    <n v="0"/>
    <n v="0"/>
    <n v="0"/>
    <n v="0"/>
    <n v="0"/>
    <n v="0"/>
    <n v="0"/>
    <n v="0"/>
    <n v="0"/>
    <n v="0"/>
    <n v="0"/>
    <n v="0"/>
    <n v="0"/>
    <n v="0"/>
    <n v="0"/>
    <n v="3"/>
    <n v="0"/>
    <n v="0"/>
    <n v="0"/>
  </r>
  <r>
    <x v="1"/>
    <s v="AAM-SC/SC"/>
    <x v="30"/>
    <s v="YADMAGE"/>
    <x v="0"/>
    <x v="44"/>
    <n v="0"/>
    <n v="0"/>
    <n v="14"/>
    <n v="0"/>
    <n v="13"/>
    <n v="140"/>
    <n v="0"/>
    <n v="0"/>
    <n v="0"/>
    <n v="16"/>
    <n v="16"/>
    <n v="12"/>
    <n v="1"/>
    <n v="0"/>
    <x v="0"/>
    <n v="0"/>
    <n v="0"/>
    <n v="0"/>
    <n v="0"/>
    <n v="0"/>
    <n v="0"/>
    <n v="0"/>
    <n v="0"/>
    <n v="0"/>
    <n v="0"/>
    <n v="0"/>
    <n v="0"/>
    <n v="0"/>
    <n v="0"/>
    <n v="0"/>
    <n v="0"/>
    <n v="0"/>
    <n v="0"/>
    <n v="0"/>
    <n v="0"/>
    <n v="0"/>
    <n v="0"/>
    <n v="0"/>
    <n v="0"/>
    <n v="0"/>
    <n v="0"/>
    <n v="2"/>
    <n v="0"/>
    <n v="0"/>
    <n v="0"/>
  </r>
  <r>
    <x v="1"/>
    <s v="AAM-PHC/PHC"/>
    <x v="31"/>
    <s v="ALOORU"/>
    <x v="0"/>
    <x v="12"/>
    <n v="0"/>
    <n v="0"/>
    <n v="0"/>
    <n v="0"/>
    <n v="0"/>
    <n v="147"/>
    <n v="59"/>
    <n v="43"/>
    <n v="3"/>
    <n v="0"/>
    <n v="0"/>
    <n v="0"/>
    <n v="85"/>
    <n v="0"/>
    <x v="0"/>
    <n v="0"/>
    <n v="0"/>
    <n v="126"/>
    <n v="45"/>
    <n v="0"/>
    <n v="0"/>
    <n v="9"/>
    <n v="0"/>
    <n v="0"/>
    <n v="0"/>
    <n v="65"/>
    <n v="0"/>
    <n v="0"/>
    <n v="0"/>
    <n v="0"/>
    <n v="0"/>
    <n v="0"/>
    <n v="0"/>
    <n v="0"/>
    <n v="0"/>
    <n v="0"/>
    <n v="0"/>
    <n v="0"/>
    <n v="0"/>
    <n v="0"/>
    <n v="0"/>
    <n v="0"/>
    <n v="0"/>
    <n v="0"/>
    <n v="0"/>
  </r>
  <r>
    <x v="1"/>
    <s v="AAM-PHC/PHC"/>
    <x v="34"/>
    <s v="BASRUR"/>
    <x v="0"/>
    <x v="12"/>
    <n v="0"/>
    <n v="0"/>
    <n v="0"/>
    <n v="0"/>
    <n v="0"/>
    <n v="1287"/>
    <n v="53"/>
    <n v="63"/>
    <n v="9"/>
    <n v="0"/>
    <n v="0"/>
    <n v="0"/>
    <n v="151"/>
    <n v="0"/>
    <x v="0"/>
    <n v="0"/>
    <n v="0"/>
    <n v="143"/>
    <n v="24"/>
    <n v="0"/>
    <n v="0"/>
    <n v="12"/>
    <n v="4"/>
    <n v="0"/>
    <n v="0"/>
    <n v="76"/>
    <n v="0"/>
    <n v="0"/>
    <n v="0"/>
    <n v="0"/>
    <n v="0"/>
    <n v="0"/>
    <n v="0"/>
    <n v="4"/>
    <n v="0"/>
    <n v="0"/>
    <n v="0"/>
    <n v="0"/>
    <n v="0"/>
    <n v="0"/>
    <n v="0"/>
    <n v="111"/>
    <n v="14"/>
    <n v="2"/>
    <n v="0"/>
  </r>
  <r>
    <x v="1"/>
    <s v="AAM-PHC/PHC"/>
    <x v="41"/>
    <s v="BIDKALKATTE"/>
    <x v="0"/>
    <x v="12"/>
    <n v="0"/>
    <n v="0"/>
    <n v="0"/>
    <n v="0"/>
    <n v="0"/>
    <n v="71"/>
    <n v="41"/>
    <n v="28"/>
    <n v="2"/>
    <n v="0"/>
    <n v="0"/>
    <n v="19"/>
    <n v="122"/>
    <n v="0"/>
    <x v="0"/>
    <n v="0"/>
    <n v="0"/>
    <n v="146"/>
    <n v="1"/>
    <n v="1"/>
    <n v="1"/>
    <n v="0"/>
    <n v="0"/>
    <n v="0"/>
    <n v="0"/>
    <n v="7"/>
    <n v="0"/>
    <n v="0"/>
    <n v="0"/>
    <n v="0"/>
    <n v="0"/>
    <n v="0"/>
    <n v="0"/>
    <n v="0"/>
    <n v="0"/>
    <n v="0"/>
    <n v="0"/>
    <n v="0"/>
    <n v="0"/>
    <n v="0"/>
    <n v="0"/>
    <n v="0"/>
    <n v="0"/>
    <n v="0"/>
    <n v="0"/>
  </r>
  <r>
    <x v="1"/>
    <s v="AAM-PHC/PHC"/>
    <x v="39"/>
    <s v="GANGOLLI"/>
    <x v="0"/>
    <x v="12"/>
    <n v="0"/>
    <n v="0"/>
    <n v="0"/>
    <n v="0"/>
    <n v="0"/>
    <n v="403"/>
    <n v="110"/>
    <n v="81"/>
    <n v="19"/>
    <n v="0"/>
    <n v="0"/>
    <n v="0"/>
    <n v="227"/>
    <n v="0"/>
    <x v="0"/>
    <n v="0"/>
    <n v="0"/>
    <n v="255"/>
    <n v="41"/>
    <n v="0"/>
    <n v="0"/>
    <n v="50"/>
    <n v="0"/>
    <n v="0"/>
    <n v="0"/>
    <n v="212"/>
    <n v="41"/>
    <n v="0"/>
    <n v="0"/>
    <n v="0"/>
    <n v="0"/>
    <n v="0"/>
    <n v="0"/>
    <n v="0"/>
    <n v="0"/>
    <n v="0"/>
    <n v="0"/>
    <n v="0"/>
    <n v="0"/>
    <n v="0"/>
    <n v="0"/>
    <n v="91"/>
    <n v="0"/>
    <n v="0"/>
    <n v="0"/>
  </r>
  <r>
    <x v="1"/>
    <s v="AAM-PHC/PHC"/>
    <x v="40"/>
    <s v="HAKLADY"/>
    <x v="0"/>
    <x v="12"/>
    <n v="0"/>
    <n v="0"/>
    <n v="0"/>
    <n v="0"/>
    <n v="0"/>
    <n v="93"/>
    <n v="16"/>
    <n v="18"/>
    <n v="1"/>
    <n v="0"/>
    <n v="0"/>
    <n v="0"/>
    <n v="63"/>
    <n v="0"/>
    <x v="0"/>
    <n v="0"/>
    <n v="0"/>
    <n v="41"/>
    <n v="35"/>
    <n v="0"/>
    <n v="0"/>
    <n v="0"/>
    <n v="0"/>
    <n v="0"/>
    <n v="0"/>
    <n v="38"/>
    <n v="0"/>
    <n v="0"/>
    <n v="0"/>
    <n v="0"/>
    <n v="0"/>
    <n v="0"/>
    <n v="0"/>
    <n v="0"/>
    <n v="0"/>
    <n v="0"/>
    <n v="0"/>
    <n v="0"/>
    <n v="0"/>
    <n v="0"/>
    <n v="0"/>
    <n v="0"/>
    <n v="0"/>
    <n v="0"/>
    <n v="0"/>
  </r>
  <r>
    <x v="1"/>
    <s v="AAM-PHC/PHC"/>
    <x v="32"/>
    <s v="HALADI"/>
    <x v="0"/>
    <x v="12"/>
    <n v="0"/>
    <n v="0"/>
    <n v="0"/>
    <n v="0"/>
    <n v="0"/>
    <n v="288"/>
    <n v="33"/>
    <n v="21"/>
    <n v="7"/>
    <n v="0"/>
    <n v="0"/>
    <n v="41"/>
    <n v="118"/>
    <n v="0"/>
    <x v="0"/>
    <n v="0"/>
    <n v="0"/>
    <n v="120"/>
    <n v="28"/>
    <n v="0"/>
    <n v="0"/>
    <n v="16"/>
    <n v="3"/>
    <n v="0"/>
    <n v="0"/>
    <n v="97"/>
    <n v="0"/>
    <n v="0"/>
    <n v="0"/>
    <n v="0"/>
    <n v="0"/>
    <n v="0"/>
    <n v="0"/>
    <n v="97"/>
    <n v="0"/>
    <n v="0"/>
    <n v="0"/>
    <n v="0"/>
    <n v="0"/>
    <n v="0"/>
    <n v="0"/>
    <n v="0"/>
    <n v="0"/>
    <n v="0"/>
    <n v="0"/>
  </r>
  <r>
    <x v="1"/>
    <s v="AAM-PHC/PHC"/>
    <x v="36"/>
    <s v="HATIYANGADI"/>
    <x v="0"/>
    <x v="12"/>
    <n v="0"/>
    <n v="0"/>
    <n v="0"/>
    <n v="0"/>
    <n v="0"/>
    <n v="235"/>
    <n v="32"/>
    <n v="31"/>
    <n v="8"/>
    <n v="156"/>
    <n v="156"/>
    <n v="62"/>
    <n v="0"/>
    <n v="0"/>
    <x v="0"/>
    <n v="0"/>
    <n v="0"/>
    <n v="149"/>
    <n v="78"/>
    <n v="0"/>
    <n v="0"/>
    <n v="28"/>
    <n v="9"/>
    <n v="0"/>
    <n v="0"/>
    <n v="68"/>
    <n v="0"/>
    <n v="0"/>
    <n v="0"/>
    <n v="0"/>
    <n v="0"/>
    <n v="0"/>
    <n v="0"/>
    <n v="0"/>
    <n v="0"/>
    <n v="0"/>
    <n v="0"/>
    <n v="0"/>
    <n v="0"/>
    <n v="0"/>
    <n v="0"/>
    <n v="15"/>
    <n v="55"/>
    <n v="116"/>
    <n v="0"/>
  </r>
  <r>
    <x v="1"/>
    <s v="AAM-PHC/PHC"/>
    <x v="35"/>
    <s v="KANDLOR"/>
    <x v="0"/>
    <x v="12"/>
    <n v="0"/>
    <n v="0"/>
    <n v="0"/>
    <n v="0"/>
    <n v="0"/>
    <n v="597"/>
    <n v="53"/>
    <n v="44"/>
    <n v="8"/>
    <n v="0"/>
    <n v="0"/>
    <n v="0"/>
    <n v="99"/>
    <n v="0"/>
    <x v="0"/>
    <n v="0"/>
    <n v="0"/>
    <n v="103"/>
    <n v="14"/>
    <n v="0"/>
    <n v="0"/>
    <n v="31"/>
    <n v="0"/>
    <n v="0"/>
    <n v="0"/>
    <n v="109"/>
    <n v="0"/>
    <n v="0"/>
    <n v="0"/>
    <n v="0"/>
    <n v="0"/>
    <n v="0"/>
    <n v="0"/>
    <n v="3"/>
    <n v="0"/>
    <n v="0"/>
    <n v="0"/>
    <n v="0"/>
    <n v="0"/>
    <n v="0"/>
    <n v="0"/>
    <n v="0"/>
    <n v="0"/>
    <n v="0"/>
    <n v="0"/>
  </r>
  <r>
    <x v="1"/>
    <s v="AAM-PHC/PHC"/>
    <x v="37"/>
    <s v="KEDUR"/>
    <x v="0"/>
    <x v="12"/>
    <n v="0"/>
    <n v="0"/>
    <n v="0"/>
    <n v="0"/>
    <n v="0"/>
    <n v="139"/>
    <n v="42"/>
    <n v="26"/>
    <n v="1"/>
    <n v="0"/>
    <n v="0"/>
    <n v="39"/>
    <n v="28"/>
    <n v="0"/>
    <x v="0"/>
    <n v="0"/>
    <n v="0"/>
    <n v="80"/>
    <n v="17"/>
    <n v="1"/>
    <n v="1"/>
    <n v="10"/>
    <n v="0"/>
    <n v="0"/>
    <n v="0"/>
    <n v="41"/>
    <n v="0"/>
    <n v="0"/>
    <n v="0"/>
    <n v="0"/>
    <n v="0"/>
    <n v="0"/>
    <n v="0"/>
    <n v="0"/>
    <n v="0"/>
    <n v="0"/>
    <n v="0"/>
    <n v="0"/>
    <n v="0"/>
    <n v="0"/>
    <n v="0"/>
    <n v="4"/>
    <n v="6"/>
    <n v="1"/>
    <n v="0"/>
  </r>
  <r>
    <x v="1"/>
    <s v="AAM-PHC/PHC"/>
    <x v="42"/>
    <s v="KODI"/>
    <x v="0"/>
    <x v="12"/>
    <n v="0"/>
    <n v="0"/>
    <n v="0"/>
    <n v="0"/>
    <n v="0"/>
    <n v="158"/>
    <n v="25"/>
    <n v="31"/>
    <n v="10"/>
    <n v="0"/>
    <n v="0"/>
    <n v="45"/>
    <n v="91"/>
    <n v="0"/>
    <x v="0"/>
    <n v="0"/>
    <n v="0"/>
    <n v="87"/>
    <n v="13"/>
    <n v="0"/>
    <n v="0"/>
    <n v="0"/>
    <n v="0"/>
    <n v="0"/>
    <n v="0"/>
    <n v="43"/>
    <n v="0"/>
    <n v="0"/>
    <n v="0"/>
    <n v="0"/>
    <n v="0"/>
    <n v="0"/>
    <n v="0"/>
    <n v="0"/>
    <n v="0"/>
    <n v="0"/>
    <n v="0"/>
    <n v="0"/>
    <n v="0"/>
    <n v="0"/>
    <n v="0"/>
    <n v="0"/>
    <n v="0"/>
    <n v="0"/>
    <n v="0"/>
  </r>
  <r>
    <x v="1"/>
    <s v="AAM-PHC/PHC"/>
    <x v="43"/>
    <s v="KORUGI"/>
    <x v="0"/>
    <x v="12"/>
    <n v="0"/>
    <n v="0"/>
    <n v="0"/>
    <n v="0"/>
    <n v="0"/>
    <n v="149"/>
    <n v="21"/>
    <n v="26"/>
    <n v="12"/>
    <n v="21"/>
    <n v="21"/>
    <n v="39"/>
    <n v="105"/>
    <n v="1"/>
    <x v="0"/>
    <n v="0"/>
    <n v="0"/>
    <n v="106"/>
    <n v="22"/>
    <n v="0"/>
    <n v="0"/>
    <n v="16"/>
    <n v="0"/>
    <n v="0"/>
    <n v="0"/>
    <n v="90"/>
    <n v="0"/>
    <n v="0"/>
    <n v="0"/>
    <n v="0"/>
    <n v="0"/>
    <n v="0"/>
    <n v="0"/>
    <n v="0"/>
    <n v="0"/>
    <n v="0"/>
    <n v="0"/>
    <n v="0"/>
    <n v="0"/>
    <n v="0"/>
    <n v="0"/>
    <n v="0"/>
    <n v="5"/>
    <n v="17"/>
    <n v="0"/>
  </r>
  <r>
    <x v="1"/>
    <s v="AAM-PHC/PHC"/>
    <x v="44"/>
    <s v="KOTESHWARA"/>
    <x v="0"/>
    <x v="12"/>
    <n v="0"/>
    <n v="0"/>
    <n v="0"/>
    <n v="0"/>
    <n v="0"/>
    <n v="494"/>
    <n v="65"/>
    <n v="42"/>
    <n v="8"/>
    <n v="0"/>
    <n v="0"/>
    <n v="85"/>
    <n v="87"/>
    <n v="0"/>
    <x v="0"/>
    <n v="0"/>
    <n v="0"/>
    <n v="87"/>
    <n v="26"/>
    <n v="0"/>
    <n v="0"/>
    <n v="26"/>
    <n v="0"/>
    <n v="0"/>
    <n v="0"/>
    <n v="55"/>
    <n v="2"/>
    <n v="0"/>
    <n v="0"/>
    <n v="0"/>
    <n v="0"/>
    <n v="0"/>
    <n v="0"/>
    <n v="1"/>
    <n v="1"/>
    <n v="1"/>
    <n v="0"/>
    <n v="0"/>
    <n v="0"/>
    <n v="0"/>
    <n v="0"/>
    <n v="33"/>
    <n v="0"/>
    <n v="0"/>
    <n v="0"/>
  </r>
  <r>
    <x v="1"/>
    <s v="AAM-PHC/PHC"/>
    <x v="38"/>
    <s v="KUMBHASHI"/>
    <x v="0"/>
    <x v="12"/>
    <n v="0"/>
    <n v="0"/>
    <n v="0"/>
    <n v="0"/>
    <n v="0"/>
    <n v="1281"/>
    <n v="109"/>
    <n v="83"/>
    <n v="7"/>
    <n v="0"/>
    <n v="0"/>
    <n v="38"/>
    <n v="180"/>
    <n v="0"/>
    <x v="0"/>
    <n v="0"/>
    <n v="0"/>
    <n v="0"/>
    <n v="21"/>
    <n v="0"/>
    <n v="3"/>
    <n v="8"/>
    <n v="0"/>
    <n v="0"/>
    <n v="0"/>
    <n v="155"/>
    <n v="0"/>
    <n v="0"/>
    <n v="0"/>
    <n v="0"/>
    <n v="0"/>
    <n v="0"/>
    <n v="0"/>
    <n v="1"/>
    <n v="0"/>
    <n v="0"/>
    <n v="0"/>
    <n v="0"/>
    <n v="0"/>
    <n v="0"/>
    <n v="0"/>
    <n v="0"/>
    <n v="0"/>
    <n v="0"/>
    <n v="0"/>
  </r>
  <r>
    <x v="1"/>
    <s v="AAM-PHC/PHC"/>
    <x v="33"/>
    <s v="SHANKARANARAYANA (24X7)"/>
    <x v="0"/>
    <x v="12"/>
    <n v="0"/>
    <n v="0"/>
    <n v="0"/>
    <n v="0"/>
    <n v="0"/>
    <n v="241"/>
    <n v="35"/>
    <n v="26"/>
    <n v="3"/>
    <n v="20"/>
    <n v="20"/>
    <n v="21"/>
    <n v="125"/>
    <n v="0"/>
    <x v="0"/>
    <n v="0"/>
    <n v="0"/>
    <n v="6"/>
    <n v="54"/>
    <n v="1"/>
    <n v="1"/>
    <n v="14"/>
    <n v="1"/>
    <n v="0"/>
    <n v="0"/>
    <n v="19"/>
    <n v="0"/>
    <n v="0"/>
    <n v="0"/>
    <n v="0"/>
    <n v="0"/>
    <n v="0"/>
    <n v="0"/>
    <n v="0"/>
    <n v="0"/>
    <n v="0"/>
    <n v="0"/>
    <n v="0"/>
    <n v="0"/>
    <n v="0"/>
    <n v="0"/>
    <n v="0"/>
    <n v="0"/>
    <n v="1"/>
    <n v="0"/>
  </r>
  <r>
    <x v="1"/>
    <s v="AAM-PHC/PHC"/>
    <x v="30"/>
    <s v="SIDDAPURA"/>
    <x v="0"/>
    <x v="12"/>
    <n v="0"/>
    <n v="0"/>
    <n v="0"/>
    <n v="0"/>
    <n v="0"/>
    <n v="1160"/>
    <n v="56"/>
    <n v="45"/>
    <n v="5"/>
    <n v="80"/>
    <n v="78"/>
    <n v="144"/>
    <n v="155"/>
    <n v="0"/>
    <x v="0"/>
    <n v="0"/>
    <n v="0"/>
    <n v="183"/>
    <n v="14"/>
    <n v="0"/>
    <n v="0"/>
    <n v="22"/>
    <n v="1"/>
    <n v="0"/>
    <n v="0"/>
    <n v="152"/>
    <n v="0"/>
    <n v="0"/>
    <n v="0"/>
    <n v="0"/>
    <n v="0"/>
    <n v="0"/>
    <n v="0"/>
    <n v="0"/>
    <n v="0"/>
    <n v="0"/>
    <n v="0"/>
    <n v="0"/>
    <n v="0"/>
    <n v="0"/>
    <n v="0"/>
    <n v="0"/>
    <n v="0"/>
    <n v="0"/>
    <n v="0"/>
  </r>
  <r>
    <x v="1"/>
    <s v="AAM-PHC/PHC"/>
    <x v="36"/>
    <s v="VADSE"/>
    <x v="0"/>
    <x v="12"/>
    <n v="0"/>
    <n v="0"/>
    <n v="0"/>
    <n v="0"/>
    <n v="0"/>
    <n v="508"/>
    <n v="95"/>
    <n v="63"/>
    <n v="18"/>
    <n v="0"/>
    <n v="0"/>
    <n v="143"/>
    <n v="215"/>
    <n v="0"/>
    <x v="0"/>
    <n v="0"/>
    <n v="0"/>
    <n v="203"/>
    <n v="112"/>
    <n v="0"/>
    <n v="0"/>
    <n v="55"/>
    <n v="0"/>
    <n v="0"/>
    <n v="0"/>
    <n v="161"/>
    <n v="0"/>
    <n v="0"/>
    <n v="0"/>
    <n v="0"/>
    <n v="0"/>
    <n v="0"/>
    <n v="0"/>
    <n v="0"/>
    <n v="0"/>
    <n v="0"/>
    <n v="0"/>
    <n v="0"/>
    <n v="0"/>
    <n v="0"/>
    <n v="0"/>
    <n v="0"/>
    <n v="0"/>
    <n v="0"/>
    <n v="0"/>
  </r>
  <r>
    <x v="1"/>
    <s v="AAM-SC/SC"/>
    <x v="46"/>
    <s v="Namma Clinic Kharvikeri"/>
    <x v="0"/>
    <x v="12"/>
    <n v="0"/>
    <n v="0"/>
    <n v="0"/>
    <n v="0"/>
    <n v="0"/>
    <n v="1"/>
    <n v="0"/>
    <n v="1"/>
    <n v="0"/>
    <n v="0"/>
    <n v="0"/>
    <n v="0"/>
    <n v="0"/>
    <n v="0"/>
    <x v="0"/>
    <n v="0"/>
    <n v="0"/>
    <n v="0"/>
    <n v="0"/>
    <n v="0"/>
    <n v="0"/>
    <n v="0"/>
    <n v="0"/>
    <n v="0"/>
    <n v="0"/>
    <n v="0"/>
    <n v="0"/>
    <n v="0"/>
    <n v="0"/>
    <n v="0"/>
    <n v="0"/>
    <n v="0"/>
    <n v="0"/>
    <n v="0"/>
    <n v="0"/>
    <n v="0"/>
    <n v="0"/>
    <n v="0"/>
    <n v="0"/>
    <n v="0"/>
    <n v="0"/>
    <n v="0"/>
    <n v="0"/>
    <n v="0"/>
    <n v="0"/>
  </r>
  <r>
    <x v="1"/>
    <s v="AAM-SC/SC"/>
    <x v="47"/>
    <s v="Namma Clinic T.T Road"/>
    <x v="0"/>
    <x v="61"/>
    <n v="0"/>
    <n v="0"/>
    <n v="2"/>
    <n v="0"/>
    <n v="0"/>
    <n v="11"/>
    <n v="3"/>
    <n v="6"/>
    <n v="2"/>
    <n v="0"/>
    <n v="0"/>
    <n v="0"/>
    <n v="0"/>
    <n v="0"/>
    <x v="0"/>
    <n v="0"/>
    <n v="0"/>
    <n v="0"/>
    <n v="0"/>
    <n v="0"/>
    <n v="0"/>
    <n v="0"/>
    <n v="0"/>
    <n v="0"/>
    <n v="0"/>
    <n v="0"/>
    <n v="0"/>
    <n v="0"/>
    <n v="0"/>
    <n v="0"/>
    <n v="0"/>
    <n v="0"/>
    <n v="0"/>
    <n v="0"/>
    <n v="0"/>
    <n v="0"/>
    <n v="0"/>
    <n v="0"/>
    <n v="0"/>
    <n v="0"/>
    <n v="0"/>
    <n v="0"/>
    <n v="0"/>
    <n v="0"/>
    <n v="0"/>
  </r>
  <r>
    <x v="1"/>
    <s v="AAM-PHC/PHC"/>
    <x v="18"/>
    <s v="Kundapura ESI Disp"/>
    <x v="0"/>
    <x v="12"/>
    <n v="0"/>
    <n v="0"/>
    <n v="0"/>
    <n v="0"/>
    <n v="0"/>
    <n v="0"/>
    <n v="0"/>
    <n v="0"/>
    <n v="0"/>
    <n v="0"/>
    <n v="0"/>
    <n v="0"/>
    <n v="0"/>
    <n v="0"/>
    <x v="0"/>
    <n v="0"/>
    <n v="0"/>
    <n v="0"/>
    <n v="0"/>
    <n v="0"/>
    <n v="0"/>
    <n v="0"/>
    <n v="0"/>
    <n v="0"/>
    <n v="0"/>
    <n v="0"/>
    <n v="0"/>
    <n v="0"/>
    <n v="0"/>
    <n v="0"/>
    <n v="0"/>
    <n v="0"/>
    <n v="0"/>
    <n v="0"/>
    <n v="0"/>
    <n v="0"/>
    <n v="0"/>
    <n v="0"/>
    <n v="0"/>
    <n v="0"/>
    <n v="0"/>
    <n v="0"/>
    <n v="0"/>
    <n v="0"/>
    <n v="0"/>
  </r>
  <r>
    <x v="1"/>
    <s v="AAM-PHC/PHC"/>
    <x v="48"/>
    <s v="MARIAM CLINIC KUNDAPURA PVT HOSPITAL"/>
    <x v="1"/>
    <x v="12"/>
    <n v="0"/>
    <n v="0"/>
    <n v="0"/>
    <n v="0"/>
    <n v="0"/>
    <n v="0"/>
    <n v="0"/>
    <n v="0"/>
    <n v="0"/>
    <n v="0"/>
    <n v="0"/>
    <n v="0"/>
    <n v="0"/>
    <n v="0"/>
    <x v="0"/>
    <n v="0"/>
    <n v="0"/>
    <n v="0"/>
    <n v="0"/>
    <n v="0"/>
    <n v="0"/>
    <n v="0"/>
    <n v="0"/>
    <n v="0"/>
    <n v="0"/>
    <n v="0"/>
    <n v="0"/>
    <n v="0"/>
    <n v="0"/>
    <n v="0"/>
    <n v="0"/>
    <n v="0"/>
    <n v="0"/>
    <n v="0"/>
    <n v="0"/>
    <n v="0"/>
    <n v="0"/>
    <n v="0"/>
    <n v="0"/>
    <n v="0"/>
    <n v="0"/>
    <n v="0"/>
    <n v="0"/>
    <n v="0"/>
    <n v="0"/>
  </r>
  <r>
    <x v="1"/>
    <s v="AAM-PHC/PHC"/>
    <x v="48"/>
    <s v="NAVAMASA womens speciality clinic KOTESHVARA PVT HOSPITAL"/>
    <x v="1"/>
    <x v="12"/>
    <n v="0"/>
    <n v="0"/>
    <n v="0"/>
    <n v="0"/>
    <n v="0"/>
    <n v="268"/>
    <n v="2"/>
    <n v="1"/>
    <n v="0"/>
    <n v="0"/>
    <n v="0"/>
    <n v="0"/>
    <n v="0"/>
    <n v="0"/>
    <x v="0"/>
    <n v="0"/>
    <n v="0"/>
    <n v="0"/>
    <n v="0"/>
    <n v="0"/>
    <n v="0"/>
    <n v="0"/>
    <n v="0"/>
    <n v="0"/>
    <n v="0"/>
    <n v="0"/>
    <n v="0"/>
    <n v="0"/>
    <n v="0"/>
    <n v="0"/>
    <n v="0"/>
    <n v="0"/>
    <n v="0"/>
    <n v="0"/>
    <n v="0"/>
    <n v="0"/>
    <n v="0"/>
    <n v="0"/>
    <n v="0"/>
    <n v="0"/>
    <n v="0"/>
    <n v="0"/>
    <n v="0"/>
    <n v="0"/>
    <n v="0"/>
  </r>
  <r>
    <x v="1"/>
    <s v="Sub District Hospital"/>
    <x v="48"/>
    <s v="Adarsha Pvt  Hospital Kundapura"/>
    <x v="1"/>
    <x v="12"/>
    <n v="0"/>
    <n v="0"/>
    <n v="0"/>
    <n v="0"/>
    <n v="0"/>
    <n v="1810"/>
    <n v="43"/>
    <n v="53"/>
    <n v="0"/>
    <n v="687"/>
    <n v="687"/>
    <n v="65"/>
    <n v="0"/>
    <n v="54"/>
    <x v="8"/>
    <n v="57"/>
    <n v="0"/>
    <n v="0"/>
    <n v="280"/>
    <n v="3"/>
    <n v="3"/>
    <n v="327"/>
    <n v="57"/>
    <n v="27"/>
    <n v="57"/>
    <n v="25"/>
    <n v="0"/>
    <n v="0"/>
    <n v="0"/>
    <n v="0"/>
    <n v="0"/>
    <n v="50"/>
    <n v="50"/>
    <n v="0"/>
    <n v="0"/>
    <n v="0"/>
    <n v="127"/>
    <n v="11"/>
    <n v="7"/>
    <n v="0"/>
    <n v="109"/>
    <n v="5"/>
    <n v="4"/>
    <n v="0"/>
    <n v="27"/>
  </r>
  <r>
    <x v="1"/>
    <s v="Sub District Hospital"/>
    <x v="48"/>
    <s v="B RAJENDRA SHETTY PVT HOSPITAL"/>
    <x v="1"/>
    <x v="12"/>
    <n v="0"/>
    <n v="0"/>
    <n v="0"/>
    <n v="0"/>
    <n v="0"/>
    <n v="0"/>
    <n v="0"/>
    <n v="0"/>
    <n v="0"/>
    <n v="0"/>
    <n v="0"/>
    <n v="0"/>
    <n v="0"/>
    <n v="0"/>
    <x v="0"/>
    <n v="0"/>
    <n v="0"/>
    <n v="0"/>
    <n v="0"/>
    <n v="0"/>
    <n v="0"/>
    <n v="0"/>
    <n v="0"/>
    <n v="0"/>
    <n v="0"/>
    <n v="0"/>
    <n v="0"/>
    <n v="0"/>
    <n v="0"/>
    <n v="0"/>
    <n v="0"/>
    <n v="0"/>
    <n v="0"/>
    <n v="0"/>
    <n v="0"/>
    <n v="0"/>
    <n v="0"/>
    <n v="0"/>
    <n v="0"/>
    <n v="0"/>
    <n v="0"/>
    <n v="0"/>
    <n v="0"/>
    <n v="0"/>
    <n v="0"/>
  </r>
  <r>
    <x v="1"/>
    <s v="Sub District Hospital"/>
    <x v="48"/>
    <s v="Chandra Nursing home Pvt Hospital, Gangolli"/>
    <x v="1"/>
    <x v="12"/>
    <n v="0"/>
    <n v="0"/>
    <n v="0"/>
    <n v="0"/>
    <n v="0"/>
    <n v="104"/>
    <n v="0"/>
    <n v="0"/>
    <n v="0"/>
    <n v="82"/>
    <n v="82"/>
    <n v="8"/>
    <n v="10"/>
    <n v="0"/>
    <x v="0"/>
    <n v="0"/>
    <n v="0"/>
    <n v="0"/>
    <n v="0"/>
    <n v="0"/>
    <n v="0"/>
    <n v="0"/>
    <n v="0"/>
    <n v="0"/>
    <n v="0"/>
    <n v="0"/>
    <n v="0"/>
    <n v="0"/>
    <n v="0"/>
    <n v="0"/>
    <n v="0"/>
    <n v="0"/>
    <n v="0"/>
    <n v="0"/>
    <n v="0"/>
    <n v="0"/>
    <n v="0"/>
    <n v="0"/>
    <n v="0"/>
    <n v="0"/>
    <n v="0"/>
    <n v="0"/>
    <n v="0"/>
    <n v="0"/>
    <n v="0"/>
  </r>
  <r>
    <x v="1"/>
    <s v="Sub District Hospital"/>
    <x v="48"/>
    <s v="Chinmayi Pvt  Hospital"/>
    <x v="1"/>
    <x v="12"/>
    <n v="0"/>
    <n v="0"/>
    <n v="0"/>
    <n v="0"/>
    <n v="0"/>
    <n v="113"/>
    <n v="44"/>
    <n v="39"/>
    <n v="0"/>
    <n v="20"/>
    <n v="22"/>
    <n v="18"/>
    <n v="0"/>
    <n v="0"/>
    <x v="2"/>
    <n v="1"/>
    <n v="0"/>
    <n v="0"/>
    <n v="0"/>
    <n v="0"/>
    <n v="0"/>
    <n v="10"/>
    <n v="0"/>
    <n v="0"/>
    <n v="0"/>
    <n v="8"/>
    <n v="0"/>
    <n v="0"/>
    <n v="0"/>
    <n v="0"/>
    <n v="0"/>
    <n v="9"/>
    <n v="0"/>
    <n v="0"/>
    <n v="0"/>
    <n v="0"/>
    <n v="0"/>
    <n v="0"/>
    <n v="0"/>
    <n v="0"/>
    <n v="0"/>
    <n v="0"/>
    <n v="0"/>
    <n v="0"/>
    <n v="0"/>
  </r>
  <r>
    <x v="1"/>
    <s v="Sub District Hospital"/>
    <x v="45"/>
    <s v="FRU KUNDAPURA TALUK HOSPITAL"/>
    <x v="0"/>
    <x v="12"/>
    <n v="0"/>
    <n v="0"/>
    <n v="0"/>
    <n v="0"/>
    <n v="0"/>
    <n v="1020"/>
    <n v="106"/>
    <n v="89"/>
    <n v="4"/>
    <n v="0"/>
    <n v="0"/>
    <n v="0"/>
    <n v="153"/>
    <n v="85"/>
    <x v="9"/>
    <n v="42"/>
    <n v="0"/>
    <n v="305"/>
    <n v="93"/>
    <n v="0"/>
    <n v="4"/>
    <n v="103"/>
    <n v="73"/>
    <n v="18"/>
    <n v="49"/>
    <n v="146"/>
    <n v="1"/>
    <n v="0"/>
    <n v="0"/>
    <n v="0"/>
    <n v="0"/>
    <n v="0"/>
    <n v="0"/>
    <n v="0"/>
    <n v="0"/>
    <n v="0"/>
    <n v="11"/>
    <n v="3"/>
    <n v="0"/>
    <n v="0"/>
    <n v="8"/>
    <n v="127"/>
    <n v="39"/>
    <n v="73"/>
    <n v="76"/>
  </r>
  <r>
    <x v="1"/>
    <s v="Sub District Hospital"/>
    <x v="48"/>
    <s v="KSHEMA PVT HOSPITAL"/>
    <x v="1"/>
    <x v="12"/>
    <n v="0"/>
    <n v="0"/>
    <n v="0"/>
    <n v="0"/>
    <n v="0"/>
    <n v="0"/>
    <n v="0"/>
    <n v="0"/>
    <n v="0"/>
    <n v="0"/>
    <n v="0"/>
    <n v="0"/>
    <n v="0"/>
    <n v="0"/>
    <x v="0"/>
    <n v="0"/>
    <n v="0"/>
    <n v="0"/>
    <n v="0"/>
    <n v="0"/>
    <n v="0"/>
    <n v="0"/>
    <n v="0"/>
    <n v="0"/>
    <n v="0"/>
    <n v="0"/>
    <n v="0"/>
    <n v="0"/>
    <n v="0"/>
    <n v="0"/>
    <n v="0"/>
    <n v="0"/>
    <n v="0"/>
    <n v="0"/>
    <n v="0"/>
    <n v="0"/>
    <n v="0"/>
    <n v="0"/>
    <n v="0"/>
    <n v="0"/>
    <n v="0"/>
    <n v="0"/>
    <n v="0"/>
    <n v="0"/>
    <n v="0"/>
  </r>
  <r>
    <x v="1"/>
    <s v="Sub District Hospital"/>
    <x v="48"/>
    <s v="NR Acharya  Pvt Hospital, Koteshwara"/>
    <x v="1"/>
    <x v="12"/>
    <n v="0"/>
    <n v="0"/>
    <n v="0"/>
    <n v="0"/>
    <n v="0"/>
    <n v="321"/>
    <n v="18"/>
    <n v="12"/>
    <n v="0"/>
    <n v="0"/>
    <n v="0"/>
    <n v="0"/>
    <n v="0"/>
    <n v="0"/>
    <x v="0"/>
    <n v="0"/>
    <n v="0"/>
    <n v="0"/>
    <n v="0"/>
    <n v="0"/>
    <n v="0"/>
    <n v="0"/>
    <n v="0"/>
    <n v="0"/>
    <n v="0"/>
    <n v="0"/>
    <n v="0"/>
    <n v="0"/>
    <n v="0"/>
    <n v="0"/>
    <n v="0"/>
    <n v="0"/>
    <n v="0"/>
    <n v="0"/>
    <n v="0"/>
    <n v="0"/>
    <n v="0"/>
    <n v="0"/>
    <n v="0"/>
    <n v="0"/>
    <n v="0"/>
    <n v="0"/>
    <n v="0"/>
    <n v="0"/>
    <n v="0"/>
  </r>
  <r>
    <x v="1"/>
    <s v="Sub District Hospital"/>
    <x v="48"/>
    <s v="PRIME PVT HOSPITAL"/>
    <x v="1"/>
    <x v="12"/>
    <n v="0"/>
    <n v="0"/>
    <n v="0"/>
    <n v="0"/>
    <n v="0"/>
    <n v="0"/>
    <n v="0"/>
    <n v="0"/>
    <n v="0"/>
    <n v="0"/>
    <n v="0"/>
    <n v="0"/>
    <n v="0"/>
    <n v="0"/>
    <x v="0"/>
    <n v="0"/>
    <n v="0"/>
    <n v="0"/>
    <n v="0"/>
    <n v="0"/>
    <n v="0"/>
    <n v="0"/>
    <n v="0"/>
    <n v="0"/>
    <n v="0"/>
    <n v="0"/>
    <n v="0"/>
    <n v="0"/>
    <n v="0"/>
    <n v="0"/>
    <n v="0"/>
    <n v="0"/>
    <n v="0"/>
    <n v="0"/>
    <n v="0"/>
    <n v="0"/>
    <n v="0"/>
    <n v="0"/>
    <n v="0"/>
    <n v="0"/>
    <n v="0"/>
    <n v="0"/>
    <n v="0"/>
    <n v="0"/>
    <n v="0"/>
  </r>
  <r>
    <x v="1"/>
    <s v="Sub District Hospital"/>
    <x v="48"/>
    <s v="SOWMYA PVT HOSPITAL"/>
    <x v="1"/>
    <x v="12"/>
    <n v="0"/>
    <n v="0"/>
    <n v="0"/>
    <n v="0"/>
    <n v="0"/>
    <n v="0"/>
    <n v="0"/>
    <n v="0"/>
    <n v="0"/>
    <n v="0"/>
    <n v="0"/>
    <n v="0"/>
    <n v="0"/>
    <n v="0"/>
    <x v="0"/>
    <n v="0"/>
    <n v="0"/>
    <n v="0"/>
    <n v="0"/>
    <n v="0"/>
    <n v="0"/>
    <n v="0"/>
    <n v="0"/>
    <n v="0"/>
    <n v="0"/>
    <n v="0"/>
    <n v="0"/>
    <n v="0"/>
    <n v="0"/>
    <n v="0"/>
    <n v="0"/>
    <n v="0"/>
    <n v="0"/>
    <n v="0"/>
    <n v="0"/>
    <n v="0"/>
    <n v="0"/>
    <n v="0"/>
    <n v="0"/>
    <n v="0"/>
    <n v="0"/>
    <n v="0"/>
    <n v="0"/>
    <n v="0"/>
    <n v="0"/>
  </r>
  <r>
    <x v="1"/>
    <s v="Sub District Hospital"/>
    <x v="48"/>
    <s v="SRI DEVI NURSING HOME PVT HOSPITAL"/>
    <x v="1"/>
    <x v="12"/>
    <n v="0"/>
    <n v="0"/>
    <n v="0"/>
    <n v="0"/>
    <n v="0"/>
    <n v="647"/>
    <n v="92"/>
    <n v="74"/>
    <n v="0"/>
    <n v="647"/>
    <n v="647"/>
    <n v="218"/>
    <n v="0"/>
    <n v="46"/>
    <x v="3"/>
    <n v="5"/>
    <n v="0"/>
    <n v="0"/>
    <n v="186"/>
    <n v="16"/>
    <n v="16"/>
    <n v="1"/>
    <n v="1"/>
    <n v="2"/>
    <n v="0"/>
    <n v="97"/>
    <n v="0"/>
    <n v="0"/>
    <n v="0"/>
    <n v="0"/>
    <n v="0"/>
    <n v="1"/>
    <n v="1"/>
    <n v="0"/>
    <n v="0"/>
    <n v="0"/>
    <n v="3"/>
    <n v="3"/>
    <n v="0"/>
    <n v="0"/>
    <n v="0"/>
    <n v="0"/>
    <n v="0"/>
    <n v="0"/>
    <n v="0"/>
  </r>
  <r>
    <x v="1"/>
    <s v="Sub District Hospital"/>
    <x v="48"/>
    <s v="Sri Durga Pvt  Hospital"/>
    <x v="1"/>
    <x v="12"/>
    <n v="0"/>
    <n v="0"/>
    <n v="0"/>
    <n v="0"/>
    <n v="0"/>
    <n v="670"/>
    <n v="20"/>
    <n v="19"/>
    <n v="0"/>
    <n v="0"/>
    <n v="0"/>
    <n v="0"/>
    <n v="0"/>
    <n v="0"/>
    <x v="0"/>
    <n v="0"/>
    <n v="0"/>
    <n v="0"/>
    <n v="0"/>
    <n v="0"/>
    <n v="0"/>
    <n v="0"/>
    <n v="0"/>
    <n v="0"/>
    <n v="0"/>
    <n v="0"/>
    <n v="0"/>
    <n v="0"/>
    <n v="0"/>
    <n v="0"/>
    <n v="0"/>
    <n v="0"/>
    <n v="0"/>
    <n v="0"/>
    <n v="0"/>
    <n v="0"/>
    <n v="0"/>
    <n v="0"/>
    <n v="0"/>
    <n v="0"/>
    <n v="0"/>
    <n v="0"/>
    <n v="0"/>
    <n v="0"/>
    <n v="0"/>
  </r>
  <r>
    <x v="1"/>
    <s v="Sub District Hospital"/>
    <x v="48"/>
    <s v="Sri Manjunatha hospital Kundapura Pvt  hospital"/>
    <x v="1"/>
    <x v="12"/>
    <n v="0"/>
    <n v="0"/>
    <n v="0"/>
    <n v="0"/>
    <n v="0"/>
    <n v="229"/>
    <n v="5"/>
    <n v="9"/>
    <n v="0"/>
    <n v="220"/>
    <n v="220"/>
    <n v="14"/>
    <n v="34"/>
    <n v="0"/>
    <x v="0"/>
    <n v="0"/>
    <n v="0"/>
    <n v="37"/>
    <n v="6"/>
    <n v="0"/>
    <n v="0"/>
    <n v="0"/>
    <n v="0"/>
    <n v="0"/>
    <n v="0"/>
    <n v="1"/>
    <n v="0"/>
    <n v="0"/>
    <n v="0"/>
    <n v="0"/>
    <n v="0"/>
    <n v="5"/>
    <n v="5"/>
    <n v="0"/>
    <n v="0"/>
    <n v="0"/>
    <n v="0"/>
    <n v="0"/>
    <n v="0"/>
    <n v="0"/>
    <n v="0"/>
    <n v="0"/>
    <n v="0"/>
    <n v="0"/>
    <n v="0"/>
  </r>
  <r>
    <x v="1"/>
    <s v="Sub District Hospital"/>
    <x v="48"/>
    <s v="Sri Sai  Pvt Hospital"/>
    <x v="1"/>
    <x v="12"/>
    <n v="0"/>
    <n v="0"/>
    <n v="0"/>
    <n v="0"/>
    <n v="0"/>
    <n v="0"/>
    <n v="0"/>
    <n v="0"/>
    <n v="0"/>
    <n v="0"/>
    <n v="0"/>
    <n v="0"/>
    <n v="0"/>
    <n v="0"/>
    <x v="7"/>
    <n v="3"/>
    <n v="2"/>
    <n v="0"/>
    <n v="0"/>
    <n v="0"/>
    <n v="0"/>
    <n v="11"/>
    <n v="0"/>
    <n v="0"/>
    <n v="0"/>
    <n v="0"/>
    <n v="0"/>
    <n v="0"/>
    <n v="0"/>
    <n v="0"/>
    <n v="0"/>
    <n v="0"/>
    <n v="0"/>
    <n v="0"/>
    <n v="0"/>
    <n v="0"/>
    <n v="0"/>
    <n v="0"/>
    <n v="0"/>
    <n v="0"/>
    <n v="0"/>
    <n v="0"/>
    <n v="0"/>
    <n v="0"/>
    <n v="0"/>
  </r>
  <r>
    <x v="1"/>
    <s v="Sub District Hospital"/>
    <x v="48"/>
    <s v="SURGEONS  PVT HOSPITAL"/>
    <x v="1"/>
    <x v="12"/>
    <n v="0"/>
    <n v="0"/>
    <n v="0"/>
    <n v="0"/>
    <n v="0"/>
    <n v="0"/>
    <n v="0"/>
    <n v="0"/>
    <n v="0"/>
    <n v="0"/>
    <n v="0"/>
    <n v="0"/>
    <n v="0"/>
    <n v="0"/>
    <x v="0"/>
    <n v="0"/>
    <n v="0"/>
    <n v="0"/>
    <n v="0"/>
    <n v="0"/>
    <n v="0"/>
    <n v="0"/>
    <n v="0"/>
    <n v="0"/>
    <n v="0"/>
    <n v="0"/>
    <n v="0"/>
    <n v="0"/>
    <n v="0"/>
    <n v="0"/>
    <n v="0"/>
    <n v="0"/>
    <n v="0"/>
    <n v="0"/>
    <n v="0"/>
    <n v="0"/>
    <n v="0"/>
    <n v="0"/>
    <n v="0"/>
    <n v="0"/>
    <n v="0"/>
    <n v="0"/>
    <n v="0"/>
    <n v="0"/>
    <n v="0"/>
  </r>
  <r>
    <x v="1"/>
    <s v="Sub District Hospital"/>
    <x v="48"/>
    <s v="Vinay  Pvt Hospital"/>
    <x v="1"/>
    <x v="12"/>
    <n v="0"/>
    <n v="0"/>
    <n v="0"/>
    <n v="0"/>
    <n v="0"/>
    <n v="0"/>
    <n v="0"/>
    <n v="0"/>
    <n v="0"/>
    <n v="0"/>
    <n v="0"/>
    <n v="0"/>
    <n v="0"/>
    <n v="0"/>
    <x v="0"/>
    <n v="0"/>
    <n v="0"/>
    <n v="0"/>
    <n v="0"/>
    <n v="0"/>
    <n v="0"/>
    <n v="0"/>
    <n v="0"/>
    <n v="0"/>
    <n v="0"/>
    <n v="0"/>
    <n v="0"/>
    <n v="0"/>
    <n v="0"/>
    <n v="0"/>
    <n v="0"/>
    <n v="0"/>
    <n v="0"/>
    <n v="0"/>
    <n v="0"/>
    <n v="0"/>
    <n v="0"/>
    <n v="0"/>
    <n v="0"/>
    <n v="0"/>
    <n v="0"/>
    <n v="0"/>
    <n v="0"/>
    <n v="0"/>
    <n v="0"/>
  </r>
  <r>
    <x v="2"/>
    <s v="AAM-SC/SC"/>
    <x v="49"/>
    <s v="ACHLADI"/>
    <x v="0"/>
    <x v="7"/>
    <n v="0"/>
    <n v="0"/>
    <n v="35"/>
    <n v="0"/>
    <n v="35"/>
    <n v="144"/>
    <n v="2"/>
    <n v="0"/>
    <n v="0"/>
    <n v="32"/>
    <n v="32"/>
    <n v="11"/>
    <n v="0"/>
    <n v="0"/>
    <x v="0"/>
    <n v="0"/>
    <n v="0"/>
    <n v="0"/>
    <n v="0"/>
    <n v="0"/>
    <n v="0"/>
    <n v="0"/>
    <n v="0"/>
    <n v="0"/>
    <n v="0"/>
    <n v="0"/>
    <n v="0"/>
    <n v="0"/>
    <n v="0"/>
    <n v="0"/>
    <n v="0"/>
    <n v="0"/>
    <n v="0"/>
    <n v="0"/>
    <n v="0"/>
    <n v="0"/>
    <n v="0"/>
    <n v="0"/>
    <n v="0"/>
    <n v="0"/>
    <n v="0"/>
    <n v="0"/>
    <n v="0"/>
    <n v="0"/>
    <n v="0"/>
  </r>
  <r>
    <x v="2"/>
    <s v="AAM-SC/SC"/>
    <x v="50"/>
    <s v="AROOR"/>
    <x v="0"/>
    <x v="32"/>
    <n v="0"/>
    <n v="0"/>
    <n v="31"/>
    <n v="0"/>
    <n v="31"/>
    <n v="176"/>
    <n v="0"/>
    <n v="0"/>
    <n v="0"/>
    <n v="25"/>
    <n v="25"/>
    <n v="23"/>
    <n v="0"/>
    <n v="0"/>
    <x v="0"/>
    <n v="0"/>
    <n v="0"/>
    <n v="0"/>
    <n v="0"/>
    <n v="0"/>
    <n v="0"/>
    <n v="0"/>
    <n v="0"/>
    <n v="0"/>
    <n v="0"/>
    <n v="0"/>
    <n v="0"/>
    <n v="0"/>
    <n v="0"/>
    <n v="0"/>
    <n v="0"/>
    <n v="0"/>
    <n v="0"/>
    <n v="2"/>
    <n v="0"/>
    <n v="0"/>
    <n v="0"/>
    <n v="0"/>
    <n v="0"/>
    <n v="0"/>
    <n v="0"/>
    <n v="1"/>
    <n v="0"/>
    <n v="0"/>
    <n v="0"/>
  </r>
  <r>
    <x v="2"/>
    <s v="AAM-SC/SC"/>
    <x v="51"/>
    <s v="AVERSE"/>
    <x v="0"/>
    <x v="40"/>
    <n v="0"/>
    <n v="0"/>
    <n v="17"/>
    <n v="0"/>
    <n v="17"/>
    <n v="114"/>
    <n v="0"/>
    <n v="0"/>
    <n v="0"/>
    <n v="15"/>
    <n v="15"/>
    <n v="15"/>
    <n v="0"/>
    <n v="0"/>
    <x v="0"/>
    <n v="0"/>
    <n v="0"/>
    <n v="0"/>
    <n v="0"/>
    <n v="0"/>
    <n v="0"/>
    <n v="0"/>
    <n v="0"/>
    <n v="0"/>
    <n v="0"/>
    <n v="0"/>
    <n v="0"/>
    <n v="0"/>
    <n v="0"/>
    <n v="0"/>
    <n v="0"/>
    <n v="0"/>
    <n v="0"/>
    <n v="0"/>
    <n v="0"/>
    <n v="0"/>
    <n v="0"/>
    <n v="0"/>
    <n v="0"/>
    <n v="0"/>
    <n v="0"/>
    <n v="0"/>
    <n v="0"/>
    <n v="0"/>
    <n v="0"/>
  </r>
  <r>
    <x v="2"/>
    <s v="AAM-SC/SC"/>
    <x v="49"/>
    <s v="BANNADI"/>
    <x v="0"/>
    <x v="9"/>
    <n v="0"/>
    <n v="0"/>
    <n v="11"/>
    <n v="0"/>
    <n v="11"/>
    <n v="40"/>
    <n v="2"/>
    <n v="2"/>
    <n v="1"/>
    <n v="9"/>
    <n v="9"/>
    <n v="5"/>
    <n v="0"/>
    <n v="0"/>
    <x v="0"/>
    <n v="0"/>
    <n v="0"/>
    <n v="0"/>
    <n v="0"/>
    <n v="0"/>
    <n v="0"/>
    <n v="0"/>
    <n v="0"/>
    <n v="0"/>
    <n v="0"/>
    <n v="0"/>
    <n v="0"/>
    <n v="0"/>
    <n v="0"/>
    <n v="0"/>
    <n v="0"/>
    <n v="0"/>
    <n v="0"/>
    <n v="0"/>
    <n v="0"/>
    <n v="0"/>
    <n v="0"/>
    <n v="0"/>
    <n v="0"/>
    <n v="0"/>
    <n v="0"/>
    <n v="0"/>
    <n v="0"/>
    <n v="0"/>
    <n v="0"/>
  </r>
  <r>
    <x v="2"/>
    <s v="AAM-SC/SC"/>
    <x v="51"/>
    <s v="BILLADI"/>
    <x v="0"/>
    <x v="4"/>
    <n v="0"/>
    <n v="0"/>
    <n v="21"/>
    <n v="0"/>
    <n v="23"/>
    <n v="155"/>
    <n v="2"/>
    <n v="3"/>
    <n v="0"/>
    <n v="17"/>
    <n v="17"/>
    <n v="17"/>
    <n v="0"/>
    <n v="0"/>
    <x v="0"/>
    <n v="0"/>
    <n v="0"/>
    <n v="0"/>
    <n v="0"/>
    <n v="0"/>
    <n v="0"/>
    <n v="0"/>
    <n v="0"/>
    <n v="0"/>
    <n v="0"/>
    <n v="0"/>
    <n v="0"/>
    <n v="0"/>
    <n v="0"/>
    <n v="0"/>
    <n v="0"/>
    <n v="0"/>
    <n v="0"/>
    <n v="0"/>
    <n v="0"/>
    <n v="0"/>
    <n v="0"/>
    <n v="0"/>
    <n v="0"/>
    <n v="0"/>
    <n v="0"/>
    <n v="0"/>
    <n v="0"/>
    <n v="0"/>
    <n v="0"/>
  </r>
  <r>
    <x v="2"/>
    <s v="AAM-SC/SC"/>
    <x v="52"/>
    <s v="CHANTHARU"/>
    <x v="0"/>
    <x v="62"/>
    <n v="0"/>
    <n v="0"/>
    <n v="67"/>
    <n v="0"/>
    <n v="67"/>
    <n v="336"/>
    <n v="2"/>
    <n v="5"/>
    <n v="0"/>
    <n v="46"/>
    <n v="35"/>
    <n v="57"/>
    <n v="0"/>
    <n v="0"/>
    <x v="0"/>
    <n v="0"/>
    <n v="0"/>
    <n v="26"/>
    <n v="4"/>
    <n v="0"/>
    <n v="0"/>
    <n v="0"/>
    <n v="0"/>
    <n v="0"/>
    <n v="0"/>
    <n v="0"/>
    <n v="0"/>
    <n v="0"/>
    <n v="0"/>
    <n v="0"/>
    <n v="0"/>
    <n v="0"/>
    <n v="0"/>
    <n v="0"/>
    <n v="0"/>
    <n v="0"/>
    <n v="0"/>
    <n v="0"/>
    <n v="0"/>
    <n v="0"/>
    <n v="0"/>
    <n v="0"/>
    <n v="0"/>
    <n v="0"/>
    <n v="0"/>
  </r>
  <r>
    <x v="2"/>
    <s v="AAM-SC/SC"/>
    <x v="50"/>
    <s v="CHERKADI"/>
    <x v="0"/>
    <x v="4"/>
    <n v="0"/>
    <n v="0"/>
    <n v="23"/>
    <n v="0"/>
    <n v="23"/>
    <n v="107"/>
    <n v="0"/>
    <n v="3"/>
    <n v="0"/>
    <n v="12"/>
    <n v="12"/>
    <n v="11"/>
    <n v="0"/>
    <n v="0"/>
    <x v="0"/>
    <n v="0"/>
    <n v="0"/>
    <n v="0"/>
    <n v="0"/>
    <n v="0"/>
    <n v="0"/>
    <n v="0"/>
    <n v="0"/>
    <n v="0"/>
    <n v="0"/>
    <n v="0"/>
    <n v="0"/>
    <n v="0"/>
    <n v="0"/>
    <n v="0"/>
    <n v="0"/>
    <n v="0"/>
    <n v="0"/>
    <n v="0"/>
    <n v="0"/>
    <n v="0"/>
    <n v="0"/>
    <n v="0"/>
    <n v="0"/>
    <n v="0"/>
    <n v="0"/>
    <n v="1"/>
    <n v="0"/>
    <n v="0"/>
    <n v="0"/>
  </r>
  <r>
    <x v="2"/>
    <s v="AAM-SC/SC"/>
    <x v="53"/>
    <s v="GILIYARU"/>
    <x v="0"/>
    <x v="0"/>
    <n v="0"/>
    <n v="0"/>
    <n v="21"/>
    <n v="0"/>
    <n v="20"/>
    <n v="142"/>
    <n v="0"/>
    <n v="0"/>
    <n v="0"/>
    <n v="25"/>
    <n v="0"/>
    <n v="20"/>
    <n v="0"/>
    <n v="0"/>
    <x v="0"/>
    <n v="0"/>
    <n v="0"/>
    <n v="0"/>
    <n v="0"/>
    <n v="0"/>
    <n v="0"/>
    <n v="0"/>
    <n v="0"/>
    <n v="0"/>
    <n v="0"/>
    <n v="0"/>
    <n v="0"/>
    <n v="0"/>
    <n v="0"/>
    <n v="0"/>
    <n v="0"/>
    <n v="0"/>
    <n v="0"/>
    <n v="0"/>
    <n v="0"/>
    <n v="0"/>
    <n v="0"/>
    <n v="0"/>
    <n v="0"/>
    <n v="0"/>
    <n v="0"/>
    <n v="0"/>
    <n v="0"/>
    <n v="0"/>
    <n v="0"/>
  </r>
  <r>
    <x v="2"/>
    <s v="AAM-SC/SC"/>
    <x v="54"/>
    <s v="GUNDMI"/>
    <x v="0"/>
    <x v="63"/>
    <n v="0"/>
    <n v="0"/>
    <n v="40"/>
    <n v="0"/>
    <n v="40"/>
    <n v="203"/>
    <n v="2"/>
    <n v="6"/>
    <n v="0"/>
    <n v="46"/>
    <n v="46"/>
    <n v="0"/>
    <n v="22"/>
    <n v="0"/>
    <x v="0"/>
    <n v="0"/>
    <n v="0"/>
    <n v="0"/>
    <n v="0"/>
    <n v="0"/>
    <n v="0"/>
    <n v="0"/>
    <n v="0"/>
    <n v="0"/>
    <n v="0"/>
    <n v="0"/>
    <n v="0"/>
    <n v="0"/>
    <n v="0"/>
    <n v="0"/>
    <n v="0"/>
    <n v="0"/>
    <n v="0"/>
    <n v="0"/>
    <n v="0"/>
    <n v="0"/>
    <n v="0"/>
    <n v="0"/>
    <n v="0"/>
    <n v="0"/>
    <n v="0"/>
    <n v="0"/>
    <n v="0"/>
    <n v="0"/>
    <n v="0"/>
  </r>
  <r>
    <x v="2"/>
    <s v="AAM-SC/SC"/>
    <x v="55"/>
    <s v="HALUVALLI"/>
    <x v="0"/>
    <x v="18"/>
    <n v="0"/>
    <n v="0"/>
    <n v="25"/>
    <n v="0"/>
    <n v="24"/>
    <n v="167"/>
    <n v="4"/>
    <n v="2"/>
    <n v="1"/>
    <n v="21"/>
    <n v="21"/>
    <n v="22"/>
    <n v="0"/>
    <n v="0"/>
    <x v="0"/>
    <n v="0"/>
    <n v="0"/>
    <n v="0"/>
    <n v="0"/>
    <n v="0"/>
    <n v="0"/>
    <n v="0"/>
    <n v="0"/>
    <n v="0"/>
    <n v="0"/>
    <n v="0"/>
    <n v="0"/>
    <n v="0"/>
    <n v="0"/>
    <n v="0"/>
    <n v="0"/>
    <n v="0"/>
    <n v="0"/>
    <n v="0"/>
    <n v="0"/>
    <n v="0"/>
    <n v="0"/>
    <n v="0"/>
    <n v="0"/>
    <n v="0"/>
    <n v="0"/>
    <n v="6"/>
    <n v="0"/>
    <n v="0"/>
    <n v="0"/>
  </r>
  <r>
    <x v="2"/>
    <s v="AAM-SC/SC"/>
    <x v="52"/>
    <s v="HANDADI"/>
    <x v="0"/>
    <x v="64"/>
    <n v="0"/>
    <n v="0"/>
    <n v="46"/>
    <n v="0"/>
    <n v="46"/>
    <n v="241"/>
    <n v="2"/>
    <n v="0"/>
    <n v="1"/>
    <n v="47"/>
    <n v="47"/>
    <n v="18"/>
    <n v="0"/>
    <n v="0"/>
    <x v="0"/>
    <n v="0"/>
    <n v="0"/>
    <n v="0"/>
    <n v="0"/>
    <n v="0"/>
    <n v="0"/>
    <n v="0"/>
    <n v="0"/>
    <n v="0"/>
    <n v="0"/>
    <n v="0"/>
    <n v="0"/>
    <n v="0"/>
    <n v="0"/>
    <n v="0"/>
    <n v="0"/>
    <n v="0"/>
    <n v="0"/>
    <n v="0"/>
    <n v="0"/>
    <n v="0"/>
    <n v="0"/>
    <n v="0"/>
    <n v="0"/>
    <n v="0"/>
    <n v="0"/>
    <n v="2"/>
    <n v="0"/>
    <n v="0"/>
    <n v="0"/>
  </r>
  <r>
    <x v="2"/>
    <s v="AAM-SC/SC"/>
    <x v="56"/>
    <s v="HANEHALLI"/>
    <x v="0"/>
    <x v="40"/>
    <n v="0"/>
    <n v="0"/>
    <n v="17"/>
    <n v="0"/>
    <n v="17"/>
    <n v="103"/>
    <n v="0"/>
    <n v="0"/>
    <n v="0"/>
    <n v="10"/>
    <n v="10"/>
    <n v="1"/>
    <n v="0"/>
    <n v="0"/>
    <x v="0"/>
    <n v="0"/>
    <n v="0"/>
    <n v="0"/>
    <n v="0"/>
    <n v="0"/>
    <n v="0"/>
    <n v="0"/>
    <n v="0"/>
    <n v="0"/>
    <n v="0"/>
    <n v="0"/>
    <n v="0"/>
    <n v="0"/>
    <n v="0"/>
    <n v="0"/>
    <n v="0"/>
    <n v="0"/>
    <n v="0"/>
    <n v="0"/>
    <n v="0"/>
    <n v="0"/>
    <n v="0"/>
    <n v="0"/>
    <n v="0"/>
    <n v="0"/>
    <n v="0"/>
    <n v="0"/>
    <n v="0"/>
    <n v="0"/>
    <n v="0"/>
  </r>
  <r>
    <x v="2"/>
    <s v="AAM-SC/SC"/>
    <x v="57"/>
    <s v="HANGARAKATTE"/>
    <x v="0"/>
    <x v="4"/>
    <n v="0"/>
    <n v="0"/>
    <n v="23"/>
    <n v="0"/>
    <n v="23"/>
    <n v="120"/>
    <n v="4"/>
    <n v="4"/>
    <n v="0"/>
    <n v="23"/>
    <n v="21"/>
    <n v="23"/>
    <n v="0"/>
    <n v="0"/>
    <x v="0"/>
    <n v="0"/>
    <n v="0"/>
    <n v="0"/>
    <n v="0"/>
    <n v="0"/>
    <n v="0"/>
    <n v="0"/>
    <n v="0"/>
    <n v="0"/>
    <n v="0"/>
    <n v="0"/>
    <n v="0"/>
    <n v="0"/>
    <n v="0"/>
    <n v="0"/>
    <n v="0"/>
    <n v="0"/>
    <n v="0"/>
    <n v="0"/>
    <n v="0"/>
    <n v="0"/>
    <n v="0"/>
    <n v="0"/>
    <n v="0"/>
    <n v="0"/>
    <n v="0"/>
    <n v="0"/>
    <n v="0"/>
    <n v="0"/>
    <n v="0"/>
  </r>
  <r>
    <x v="2"/>
    <s v="AAM-SC/SC"/>
    <x v="52"/>
    <s v="HARADI"/>
    <x v="0"/>
    <x v="10"/>
    <n v="0"/>
    <n v="0"/>
    <n v="26"/>
    <n v="0"/>
    <n v="26"/>
    <n v="203"/>
    <n v="7"/>
    <n v="5"/>
    <n v="1"/>
    <n v="39"/>
    <n v="39"/>
    <n v="31"/>
    <n v="0"/>
    <n v="0"/>
    <x v="0"/>
    <n v="0"/>
    <n v="0"/>
    <n v="0"/>
    <n v="0"/>
    <n v="0"/>
    <n v="0"/>
    <n v="0"/>
    <n v="0"/>
    <n v="0"/>
    <n v="0"/>
    <n v="0"/>
    <n v="0"/>
    <n v="0"/>
    <n v="0"/>
    <n v="0"/>
    <n v="0"/>
    <n v="0"/>
    <n v="0"/>
    <n v="0"/>
    <n v="0"/>
    <n v="0"/>
    <n v="0"/>
    <n v="0"/>
    <n v="0"/>
    <n v="0"/>
    <n v="0"/>
    <n v="7"/>
    <n v="0"/>
    <n v="0"/>
    <n v="0"/>
  </r>
  <r>
    <x v="2"/>
    <s v="AAM-SC/SC"/>
    <x v="58"/>
    <s v="HAVANJE"/>
    <x v="0"/>
    <x v="7"/>
    <n v="0"/>
    <n v="0"/>
    <n v="35"/>
    <n v="0"/>
    <n v="35"/>
    <n v="98"/>
    <n v="2"/>
    <n v="1"/>
    <n v="0"/>
    <n v="32"/>
    <n v="32"/>
    <n v="0"/>
    <n v="0"/>
    <n v="0"/>
    <x v="0"/>
    <n v="0"/>
    <n v="0"/>
    <n v="0"/>
    <n v="0"/>
    <n v="0"/>
    <n v="0"/>
    <n v="0"/>
    <n v="0"/>
    <n v="0"/>
    <n v="0"/>
    <n v="0"/>
    <n v="0"/>
    <n v="0"/>
    <n v="0"/>
    <n v="0"/>
    <n v="0"/>
    <n v="0"/>
    <n v="0"/>
    <n v="37"/>
    <n v="0"/>
    <n v="0"/>
    <n v="0"/>
    <n v="0"/>
    <n v="0"/>
    <n v="0"/>
    <n v="0"/>
    <n v="0"/>
    <n v="0"/>
    <n v="0"/>
    <n v="0"/>
  </r>
  <r>
    <x v="2"/>
    <s v="AAM-SC/SC"/>
    <x v="59"/>
    <s v="HEGGUNJE"/>
    <x v="0"/>
    <x v="32"/>
    <n v="0"/>
    <n v="0"/>
    <n v="31"/>
    <n v="0"/>
    <n v="31"/>
    <n v="211"/>
    <n v="0"/>
    <n v="0"/>
    <n v="0"/>
    <n v="21"/>
    <n v="18"/>
    <n v="16"/>
    <n v="11"/>
    <n v="0"/>
    <x v="0"/>
    <n v="0"/>
    <n v="0"/>
    <n v="0"/>
    <n v="2"/>
    <n v="0"/>
    <n v="0"/>
    <n v="0"/>
    <n v="0"/>
    <n v="0"/>
    <n v="0"/>
    <n v="0"/>
    <n v="0"/>
    <n v="0"/>
    <n v="0"/>
    <n v="0"/>
    <n v="0"/>
    <n v="0"/>
    <n v="0"/>
    <n v="0"/>
    <n v="0"/>
    <n v="0"/>
    <n v="0"/>
    <n v="0"/>
    <n v="0"/>
    <n v="0"/>
    <n v="0"/>
    <n v="4"/>
    <n v="0"/>
    <n v="0"/>
    <n v="0"/>
  </r>
  <r>
    <x v="2"/>
    <s v="AAM-SC/SC"/>
    <x v="49"/>
    <s v="HERADI"/>
    <x v="0"/>
    <x v="44"/>
    <n v="0"/>
    <n v="0"/>
    <n v="11"/>
    <n v="0"/>
    <n v="14"/>
    <n v="102"/>
    <n v="5"/>
    <n v="8"/>
    <n v="0"/>
    <n v="10"/>
    <n v="10"/>
    <n v="11"/>
    <n v="0"/>
    <n v="0"/>
    <x v="0"/>
    <n v="0"/>
    <n v="0"/>
    <n v="0"/>
    <n v="0"/>
    <n v="0"/>
    <n v="0"/>
    <n v="0"/>
    <n v="0"/>
    <n v="0"/>
    <n v="0"/>
    <n v="0"/>
    <n v="0"/>
    <n v="0"/>
    <n v="0"/>
    <n v="0"/>
    <n v="0"/>
    <n v="0"/>
    <n v="0"/>
    <n v="0"/>
    <n v="0"/>
    <n v="0"/>
    <n v="0"/>
    <n v="0"/>
    <n v="0"/>
    <n v="0"/>
    <n v="0"/>
    <n v="0"/>
    <n v="0"/>
    <n v="0"/>
    <n v="0"/>
  </r>
  <r>
    <x v="2"/>
    <s v="AAM-SC/SC"/>
    <x v="52"/>
    <s v="HEROOR B"/>
    <x v="0"/>
    <x v="65"/>
    <n v="0"/>
    <n v="0"/>
    <n v="81"/>
    <n v="0"/>
    <n v="81"/>
    <n v="375"/>
    <n v="6"/>
    <n v="2"/>
    <n v="1"/>
    <n v="45"/>
    <n v="31"/>
    <n v="57"/>
    <n v="0"/>
    <n v="0"/>
    <x v="0"/>
    <n v="0"/>
    <n v="0"/>
    <n v="0"/>
    <n v="0"/>
    <n v="0"/>
    <n v="0"/>
    <n v="0"/>
    <n v="0"/>
    <n v="0"/>
    <n v="0"/>
    <n v="0"/>
    <n v="0"/>
    <n v="0"/>
    <n v="0"/>
    <n v="0"/>
    <n v="0"/>
    <n v="0"/>
    <n v="0"/>
    <n v="0"/>
    <n v="0"/>
    <n v="0"/>
    <n v="0"/>
    <n v="0"/>
    <n v="0"/>
    <n v="0"/>
    <n v="0"/>
    <n v="0"/>
    <n v="0"/>
    <n v="0"/>
    <n v="0"/>
  </r>
  <r>
    <x v="2"/>
    <s v="AAM-SC/SC"/>
    <x v="51"/>
    <s v="HILIYANA"/>
    <x v="0"/>
    <x v="7"/>
    <n v="0"/>
    <n v="0"/>
    <n v="34"/>
    <n v="0"/>
    <n v="35"/>
    <n v="218"/>
    <n v="3"/>
    <n v="3"/>
    <n v="0"/>
    <n v="30"/>
    <n v="30"/>
    <n v="23"/>
    <n v="0"/>
    <n v="0"/>
    <x v="0"/>
    <n v="0"/>
    <n v="0"/>
    <n v="0"/>
    <n v="0"/>
    <n v="0"/>
    <n v="0"/>
    <n v="0"/>
    <n v="0"/>
    <n v="0"/>
    <n v="0"/>
    <n v="0"/>
    <n v="0"/>
    <n v="0"/>
    <n v="0"/>
    <n v="0"/>
    <n v="0"/>
    <n v="0"/>
    <n v="0"/>
    <n v="0"/>
    <n v="0"/>
    <n v="0"/>
    <n v="0"/>
    <n v="0"/>
    <n v="0"/>
    <n v="0"/>
    <n v="0"/>
    <n v="0"/>
    <n v="0"/>
    <n v="0"/>
    <n v="0"/>
  </r>
  <r>
    <x v="2"/>
    <s v="AAM-SC/SC"/>
    <x v="52"/>
    <s v="HONNALA"/>
    <x v="0"/>
    <x v="26"/>
    <n v="0"/>
    <n v="0"/>
    <n v="29"/>
    <n v="0"/>
    <n v="29"/>
    <n v="182"/>
    <n v="2"/>
    <n v="4"/>
    <n v="2"/>
    <n v="33"/>
    <n v="33"/>
    <n v="29"/>
    <n v="0"/>
    <n v="0"/>
    <x v="0"/>
    <n v="0"/>
    <n v="0"/>
    <n v="0"/>
    <n v="0"/>
    <n v="0"/>
    <n v="0"/>
    <n v="0"/>
    <n v="0"/>
    <n v="0"/>
    <n v="0"/>
    <n v="0"/>
    <n v="0"/>
    <n v="0"/>
    <n v="0"/>
    <n v="0"/>
    <n v="0"/>
    <n v="0"/>
    <n v="0"/>
    <n v="0"/>
    <n v="0"/>
    <n v="0"/>
    <n v="0"/>
    <n v="0"/>
    <n v="0"/>
    <n v="0"/>
    <n v="0"/>
    <n v="10"/>
    <n v="0"/>
    <n v="0"/>
    <n v="0"/>
  </r>
  <r>
    <x v="2"/>
    <s v="AAM-SC/SC"/>
    <x v="56"/>
    <s v="HOSALA"/>
    <x v="0"/>
    <x v="6"/>
    <n v="0"/>
    <n v="0"/>
    <n v="20"/>
    <n v="0"/>
    <n v="5"/>
    <n v="90"/>
    <n v="0"/>
    <n v="0"/>
    <n v="0"/>
    <n v="14"/>
    <n v="14"/>
    <n v="11"/>
    <n v="0"/>
    <n v="0"/>
    <x v="0"/>
    <n v="0"/>
    <n v="0"/>
    <n v="0"/>
    <n v="0"/>
    <n v="0"/>
    <n v="0"/>
    <n v="0"/>
    <n v="0"/>
    <n v="0"/>
    <n v="0"/>
    <n v="0"/>
    <n v="0"/>
    <n v="0"/>
    <n v="0"/>
    <n v="0"/>
    <n v="0"/>
    <n v="0"/>
    <n v="0"/>
    <n v="0"/>
    <n v="0"/>
    <n v="0"/>
    <n v="0"/>
    <n v="0"/>
    <n v="0"/>
    <n v="0"/>
    <n v="0"/>
    <n v="0"/>
    <n v="0"/>
    <n v="0"/>
    <n v="0"/>
  </r>
  <r>
    <x v="2"/>
    <s v="AAM-SC/SC"/>
    <x v="57"/>
    <s v="IRODI"/>
    <x v="0"/>
    <x v="27"/>
    <n v="0"/>
    <n v="0"/>
    <n v="38"/>
    <n v="0"/>
    <n v="38"/>
    <n v="242"/>
    <n v="0"/>
    <n v="0"/>
    <n v="0"/>
    <n v="40"/>
    <n v="40"/>
    <n v="29"/>
    <n v="0"/>
    <n v="0"/>
    <x v="0"/>
    <n v="0"/>
    <n v="0"/>
    <n v="0"/>
    <n v="0"/>
    <n v="0"/>
    <n v="0"/>
    <n v="0"/>
    <n v="0"/>
    <n v="0"/>
    <n v="0"/>
    <n v="0"/>
    <n v="0"/>
    <n v="0"/>
    <n v="0"/>
    <n v="0"/>
    <n v="0"/>
    <n v="0"/>
    <n v="0"/>
    <n v="0"/>
    <n v="0"/>
    <n v="0"/>
    <n v="0"/>
    <n v="0"/>
    <n v="0"/>
    <n v="0"/>
    <n v="0"/>
    <n v="0"/>
    <n v="0"/>
    <n v="0"/>
    <n v="0"/>
  </r>
  <r>
    <x v="2"/>
    <s v="AAM-SC/SC"/>
    <x v="56"/>
    <s v="KACHURU"/>
    <x v="0"/>
    <x v="5"/>
    <n v="0"/>
    <n v="0"/>
    <n v="12"/>
    <n v="0"/>
    <n v="11"/>
    <n v="72"/>
    <n v="1"/>
    <n v="1"/>
    <n v="0"/>
    <n v="10"/>
    <n v="10"/>
    <n v="0"/>
    <n v="0"/>
    <n v="0"/>
    <x v="0"/>
    <n v="0"/>
    <n v="0"/>
    <n v="0"/>
    <n v="0"/>
    <n v="0"/>
    <n v="0"/>
    <n v="0"/>
    <n v="0"/>
    <n v="0"/>
    <n v="0"/>
    <n v="0"/>
    <n v="0"/>
    <n v="0"/>
    <n v="0"/>
    <n v="0"/>
    <n v="0"/>
    <n v="0"/>
    <n v="0"/>
    <n v="0"/>
    <n v="0"/>
    <n v="0"/>
    <n v="0"/>
    <n v="0"/>
    <n v="0"/>
    <n v="0"/>
    <n v="0"/>
    <n v="0"/>
    <n v="0"/>
    <n v="0"/>
    <n v="0"/>
  </r>
  <r>
    <x v="2"/>
    <s v="AAM-SC/SC"/>
    <x v="59"/>
    <s v="KADUR"/>
    <x v="0"/>
    <x v="10"/>
    <n v="0"/>
    <n v="0"/>
    <n v="26"/>
    <n v="0"/>
    <n v="23"/>
    <n v="150"/>
    <n v="0"/>
    <n v="0"/>
    <n v="0"/>
    <n v="15"/>
    <n v="15"/>
    <n v="12"/>
    <n v="7"/>
    <n v="0"/>
    <x v="0"/>
    <n v="0"/>
    <n v="0"/>
    <n v="0"/>
    <n v="3"/>
    <n v="0"/>
    <n v="0"/>
    <n v="0"/>
    <n v="0"/>
    <n v="0"/>
    <n v="0"/>
    <n v="0"/>
    <n v="0"/>
    <n v="0"/>
    <n v="0"/>
    <n v="0"/>
    <n v="0"/>
    <n v="0"/>
    <n v="0"/>
    <n v="0"/>
    <n v="0"/>
    <n v="0"/>
    <n v="0"/>
    <n v="0"/>
    <n v="0"/>
    <n v="0"/>
    <n v="0"/>
    <n v="2"/>
    <n v="0"/>
    <n v="0"/>
    <n v="0"/>
  </r>
  <r>
    <x v="2"/>
    <s v="AAM-SC/SC"/>
    <x v="55"/>
    <s v="KALTHUR"/>
    <x v="0"/>
    <x v="1"/>
    <n v="0"/>
    <n v="0"/>
    <n v="24"/>
    <n v="0"/>
    <n v="24"/>
    <n v="167"/>
    <n v="0"/>
    <n v="2"/>
    <n v="0"/>
    <n v="25"/>
    <n v="25"/>
    <n v="25"/>
    <n v="0"/>
    <n v="0"/>
    <x v="0"/>
    <n v="0"/>
    <n v="0"/>
    <n v="0"/>
    <n v="0"/>
    <n v="0"/>
    <n v="0"/>
    <n v="0"/>
    <n v="0"/>
    <n v="0"/>
    <n v="0"/>
    <n v="0"/>
    <n v="0"/>
    <n v="0"/>
    <n v="0"/>
    <n v="0"/>
    <n v="0"/>
    <n v="0"/>
    <n v="0"/>
    <n v="0"/>
    <n v="0"/>
    <n v="0"/>
    <n v="0"/>
    <n v="0"/>
    <n v="0"/>
    <n v="0"/>
    <n v="0"/>
    <n v="2"/>
    <n v="0"/>
    <n v="0"/>
    <n v="0"/>
  </r>
  <r>
    <x v="2"/>
    <s v="AAM-SC/SC"/>
    <x v="55"/>
    <s v="KARJE"/>
    <x v="0"/>
    <x v="1"/>
    <n v="0"/>
    <n v="0"/>
    <n v="24"/>
    <n v="0"/>
    <n v="24"/>
    <n v="181"/>
    <n v="0"/>
    <n v="0"/>
    <n v="0"/>
    <n v="22"/>
    <n v="22"/>
    <n v="24"/>
    <n v="0"/>
    <n v="0"/>
    <x v="0"/>
    <n v="0"/>
    <n v="0"/>
    <n v="0"/>
    <n v="0"/>
    <n v="0"/>
    <n v="0"/>
    <n v="0"/>
    <n v="0"/>
    <n v="0"/>
    <n v="0"/>
    <n v="0"/>
    <n v="0"/>
    <n v="0"/>
    <n v="0"/>
    <n v="0"/>
    <n v="0"/>
    <n v="0"/>
    <n v="0"/>
    <n v="0"/>
    <n v="0"/>
    <n v="0"/>
    <n v="0"/>
    <n v="0"/>
    <n v="0"/>
    <n v="0"/>
    <n v="0"/>
    <n v="5"/>
    <n v="0"/>
    <n v="0"/>
    <n v="0"/>
  </r>
  <r>
    <x v="2"/>
    <s v="AAM-SC/SC"/>
    <x v="54"/>
    <s v="KARKADA"/>
    <x v="0"/>
    <x v="66"/>
    <n v="0"/>
    <n v="0"/>
    <n v="63"/>
    <n v="0"/>
    <n v="59"/>
    <n v="215"/>
    <n v="0"/>
    <n v="0"/>
    <n v="0"/>
    <n v="46"/>
    <n v="46"/>
    <n v="26"/>
    <n v="4"/>
    <n v="0"/>
    <x v="0"/>
    <n v="0"/>
    <n v="0"/>
    <n v="14"/>
    <n v="0"/>
    <n v="0"/>
    <n v="0"/>
    <n v="0"/>
    <n v="0"/>
    <n v="0"/>
    <n v="0"/>
    <n v="0"/>
    <n v="0"/>
    <n v="0"/>
    <n v="0"/>
    <n v="0"/>
    <n v="0"/>
    <n v="0"/>
    <n v="0"/>
    <n v="0"/>
    <n v="0"/>
    <n v="0"/>
    <n v="0"/>
    <n v="0"/>
    <n v="0"/>
    <n v="0"/>
    <n v="0"/>
    <n v="7"/>
    <n v="0"/>
    <n v="0"/>
    <n v="0"/>
  </r>
  <r>
    <x v="2"/>
    <s v="AAM-SC/SC"/>
    <x v="49"/>
    <s v="KAWADI"/>
    <x v="0"/>
    <x v="0"/>
    <n v="0"/>
    <n v="0"/>
    <n v="21"/>
    <n v="0"/>
    <n v="21"/>
    <n v="119"/>
    <n v="3"/>
    <n v="4"/>
    <n v="1"/>
    <n v="18"/>
    <n v="18"/>
    <n v="15"/>
    <n v="0"/>
    <n v="0"/>
    <x v="0"/>
    <n v="0"/>
    <n v="0"/>
    <n v="0"/>
    <n v="0"/>
    <n v="0"/>
    <n v="0"/>
    <n v="0"/>
    <n v="0"/>
    <n v="0"/>
    <n v="0"/>
    <n v="0"/>
    <n v="0"/>
    <n v="0"/>
    <n v="0"/>
    <n v="0"/>
    <n v="0"/>
    <n v="0"/>
    <n v="0"/>
    <n v="0"/>
    <n v="0"/>
    <n v="0"/>
    <n v="0"/>
    <n v="0"/>
    <n v="0"/>
    <n v="0"/>
    <n v="0"/>
    <n v="0"/>
    <n v="0"/>
    <n v="0"/>
    <n v="0"/>
  </r>
  <r>
    <x v="2"/>
    <s v="AAM-SC/SC"/>
    <x v="55"/>
    <s v="KENJURU"/>
    <x v="0"/>
    <x v="42"/>
    <n v="0"/>
    <n v="0"/>
    <n v="32"/>
    <n v="0"/>
    <n v="31"/>
    <n v="203"/>
    <n v="0"/>
    <n v="1"/>
    <n v="0"/>
    <n v="27"/>
    <n v="27"/>
    <n v="31"/>
    <n v="0"/>
    <n v="0"/>
    <x v="0"/>
    <n v="0"/>
    <n v="0"/>
    <n v="0"/>
    <n v="0"/>
    <n v="0"/>
    <n v="0"/>
    <n v="0"/>
    <n v="0"/>
    <n v="0"/>
    <n v="0"/>
    <n v="0"/>
    <n v="0"/>
    <n v="0"/>
    <n v="0"/>
    <n v="0"/>
    <n v="0"/>
    <n v="0"/>
    <n v="0"/>
    <n v="0"/>
    <n v="0"/>
    <n v="0"/>
    <n v="0"/>
    <n v="0"/>
    <n v="0"/>
    <n v="0"/>
    <n v="0"/>
    <n v="10"/>
    <n v="0"/>
    <n v="0"/>
    <n v="0"/>
  </r>
  <r>
    <x v="2"/>
    <s v="AAM-SC/SC"/>
    <x v="60"/>
    <s v="KODIBENGRE"/>
    <x v="0"/>
    <x v="13"/>
    <n v="0"/>
    <n v="0"/>
    <n v="10"/>
    <n v="0"/>
    <n v="7"/>
    <n v="64"/>
    <n v="0"/>
    <n v="0"/>
    <n v="0"/>
    <n v="15"/>
    <n v="0"/>
    <n v="12"/>
    <n v="8"/>
    <n v="0"/>
    <x v="0"/>
    <n v="0"/>
    <n v="0"/>
    <n v="2"/>
    <n v="0"/>
    <n v="0"/>
    <n v="0"/>
    <n v="0"/>
    <n v="0"/>
    <n v="0"/>
    <n v="0"/>
    <n v="0"/>
    <n v="0"/>
    <n v="0"/>
    <n v="0"/>
    <n v="0"/>
    <n v="0"/>
    <n v="0"/>
    <n v="0"/>
    <n v="0"/>
    <n v="0"/>
    <n v="0"/>
    <n v="0"/>
    <n v="0"/>
    <n v="0"/>
    <n v="0"/>
    <n v="0"/>
    <n v="0"/>
    <n v="0"/>
    <n v="0"/>
    <n v="0"/>
  </r>
  <r>
    <x v="2"/>
    <s v="AAM-SC/SC"/>
    <x v="60"/>
    <s v="KODIKANYANA"/>
    <x v="0"/>
    <x v="35"/>
    <n v="0"/>
    <n v="0"/>
    <n v="37"/>
    <n v="0"/>
    <n v="32"/>
    <n v="197"/>
    <n v="13"/>
    <n v="10"/>
    <n v="0"/>
    <n v="24"/>
    <n v="5"/>
    <n v="20"/>
    <n v="21"/>
    <n v="0"/>
    <x v="0"/>
    <n v="0"/>
    <n v="0"/>
    <n v="6"/>
    <n v="0"/>
    <n v="0"/>
    <n v="0"/>
    <n v="1"/>
    <n v="0"/>
    <n v="0"/>
    <n v="0"/>
    <n v="0"/>
    <n v="0"/>
    <n v="0"/>
    <n v="0"/>
    <n v="0"/>
    <n v="0"/>
    <n v="0"/>
    <n v="0"/>
    <n v="0"/>
    <n v="0"/>
    <n v="0"/>
    <n v="0"/>
    <n v="0"/>
    <n v="0"/>
    <n v="0"/>
    <n v="0"/>
    <n v="2"/>
    <n v="0"/>
    <n v="0"/>
    <n v="0"/>
  </r>
  <r>
    <x v="2"/>
    <s v="AAM-SC/SC"/>
    <x v="58"/>
    <s v="KOLALGIRI"/>
    <x v="0"/>
    <x v="24"/>
    <n v="0"/>
    <n v="0"/>
    <n v="39"/>
    <n v="0"/>
    <n v="39"/>
    <n v="104"/>
    <n v="0"/>
    <n v="0"/>
    <n v="0"/>
    <n v="44"/>
    <n v="44"/>
    <n v="0"/>
    <n v="0"/>
    <n v="0"/>
    <x v="0"/>
    <n v="0"/>
    <n v="0"/>
    <n v="0"/>
    <n v="0"/>
    <n v="0"/>
    <n v="0"/>
    <n v="0"/>
    <n v="0"/>
    <n v="0"/>
    <n v="0"/>
    <n v="0"/>
    <n v="0"/>
    <n v="0"/>
    <n v="0"/>
    <n v="0"/>
    <n v="0"/>
    <n v="0"/>
    <n v="0"/>
    <n v="39"/>
    <n v="0"/>
    <n v="0"/>
    <n v="0"/>
    <n v="0"/>
    <n v="0"/>
    <n v="0"/>
    <n v="0"/>
    <n v="0"/>
    <n v="0"/>
    <n v="0"/>
    <n v="0"/>
  </r>
  <r>
    <x v="2"/>
    <s v="AAM-SC/SC"/>
    <x v="53"/>
    <s v="KOTATHATTU"/>
    <x v="0"/>
    <x v="33"/>
    <n v="0"/>
    <n v="0"/>
    <n v="53"/>
    <n v="0"/>
    <n v="50"/>
    <n v="371"/>
    <n v="3"/>
    <n v="1"/>
    <n v="0"/>
    <n v="56"/>
    <n v="0"/>
    <n v="42"/>
    <n v="3"/>
    <n v="0"/>
    <x v="0"/>
    <n v="0"/>
    <n v="0"/>
    <n v="0"/>
    <n v="0"/>
    <n v="0"/>
    <n v="0"/>
    <n v="0"/>
    <n v="0"/>
    <n v="0"/>
    <n v="0"/>
    <n v="0"/>
    <n v="0"/>
    <n v="0"/>
    <n v="0"/>
    <n v="0"/>
    <n v="0"/>
    <n v="0"/>
    <n v="0"/>
    <n v="0"/>
    <n v="0"/>
    <n v="0"/>
    <n v="0"/>
    <n v="0"/>
    <n v="0"/>
    <n v="0"/>
    <n v="0"/>
    <n v="0"/>
    <n v="0"/>
    <n v="0"/>
    <n v="0"/>
  </r>
  <r>
    <x v="2"/>
    <s v="AAM-SC/SC"/>
    <x v="61"/>
    <s v="KUDI"/>
    <x v="0"/>
    <x v="35"/>
    <n v="0"/>
    <n v="0"/>
    <n v="36"/>
    <n v="0"/>
    <n v="37"/>
    <n v="191"/>
    <n v="0"/>
    <n v="0"/>
    <n v="0"/>
    <n v="36"/>
    <n v="36"/>
    <n v="33"/>
    <n v="0"/>
    <n v="0"/>
    <x v="0"/>
    <n v="0"/>
    <n v="0"/>
    <n v="0"/>
    <n v="0"/>
    <n v="0"/>
    <n v="0"/>
    <n v="0"/>
    <n v="0"/>
    <n v="0"/>
    <n v="0"/>
    <n v="0"/>
    <n v="0"/>
    <n v="0"/>
    <n v="0"/>
    <n v="0"/>
    <n v="0"/>
    <n v="0"/>
    <n v="0"/>
    <n v="0"/>
    <n v="0"/>
    <n v="0"/>
    <n v="0"/>
    <n v="0"/>
    <n v="0"/>
    <n v="0"/>
    <n v="0"/>
    <n v="13"/>
    <n v="3"/>
    <n v="0"/>
    <n v="0"/>
  </r>
  <r>
    <x v="2"/>
    <s v="AAM-SC/SC"/>
    <x v="50"/>
    <s v="KUNJALU"/>
    <x v="0"/>
    <x v="40"/>
    <n v="0"/>
    <n v="0"/>
    <n v="17"/>
    <n v="0"/>
    <n v="17"/>
    <n v="127"/>
    <n v="0"/>
    <n v="1"/>
    <n v="0"/>
    <n v="29"/>
    <n v="29"/>
    <n v="18"/>
    <n v="0"/>
    <n v="0"/>
    <x v="0"/>
    <n v="0"/>
    <n v="0"/>
    <n v="0"/>
    <n v="0"/>
    <n v="0"/>
    <n v="0"/>
    <n v="0"/>
    <n v="0"/>
    <n v="0"/>
    <n v="0"/>
    <n v="0"/>
    <n v="0"/>
    <n v="0"/>
    <n v="0"/>
    <n v="0"/>
    <n v="0"/>
    <n v="0"/>
    <n v="0"/>
    <n v="0"/>
    <n v="0"/>
    <n v="0"/>
    <n v="0"/>
    <n v="0"/>
    <n v="0"/>
    <n v="0"/>
    <n v="0"/>
    <n v="1"/>
    <n v="0"/>
    <n v="0"/>
    <n v="0"/>
  </r>
  <r>
    <x v="2"/>
    <s v="AAM-SC/SC"/>
    <x v="56"/>
    <s v="KURADI"/>
    <x v="0"/>
    <x v="44"/>
    <n v="0"/>
    <n v="0"/>
    <n v="14"/>
    <n v="0"/>
    <n v="14"/>
    <n v="61"/>
    <n v="1"/>
    <n v="0"/>
    <n v="0"/>
    <n v="13"/>
    <n v="13"/>
    <n v="1"/>
    <n v="0"/>
    <n v="0"/>
    <x v="0"/>
    <n v="0"/>
    <n v="0"/>
    <n v="0"/>
    <n v="0"/>
    <n v="0"/>
    <n v="0"/>
    <n v="0"/>
    <n v="0"/>
    <n v="0"/>
    <n v="0"/>
    <n v="0"/>
    <n v="0"/>
    <n v="0"/>
    <n v="0"/>
    <n v="0"/>
    <n v="0"/>
    <n v="0"/>
    <n v="0"/>
    <n v="0"/>
    <n v="0"/>
    <n v="0"/>
    <n v="0"/>
    <n v="0"/>
    <n v="0"/>
    <n v="0"/>
    <n v="0"/>
    <n v="1"/>
    <n v="0"/>
    <n v="0"/>
    <n v="0"/>
  </r>
  <r>
    <x v="2"/>
    <s v="AAM-SC/SC"/>
    <x v="53"/>
    <s v="MANOOR"/>
    <x v="0"/>
    <x v="54"/>
    <n v="0"/>
    <n v="0"/>
    <n v="49"/>
    <n v="0"/>
    <n v="46"/>
    <n v="297"/>
    <n v="2"/>
    <n v="2"/>
    <n v="1"/>
    <n v="39"/>
    <n v="0"/>
    <n v="30"/>
    <n v="0"/>
    <n v="0"/>
    <x v="0"/>
    <n v="0"/>
    <n v="0"/>
    <n v="0"/>
    <n v="0"/>
    <n v="0"/>
    <n v="0"/>
    <n v="0"/>
    <n v="0"/>
    <n v="0"/>
    <n v="0"/>
    <n v="0"/>
    <n v="0"/>
    <n v="0"/>
    <n v="0"/>
    <n v="0"/>
    <n v="0"/>
    <n v="0"/>
    <n v="0"/>
    <n v="0"/>
    <n v="0"/>
    <n v="0"/>
    <n v="0"/>
    <n v="0"/>
    <n v="0"/>
    <n v="0"/>
    <n v="0"/>
    <n v="0"/>
    <n v="0"/>
    <n v="0"/>
    <n v="0"/>
  </r>
  <r>
    <x v="2"/>
    <s v="AAM-SC/SC"/>
    <x v="52"/>
    <s v="MATPADI"/>
    <x v="0"/>
    <x v="16"/>
    <n v="0"/>
    <n v="0"/>
    <n v="22"/>
    <n v="0"/>
    <n v="22"/>
    <n v="106"/>
    <n v="5"/>
    <n v="2"/>
    <n v="2"/>
    <n v="14"/>
    <n v="13"/>
    <n v="6"/>
    <n v="0"/>
    <n v="0"/>
    <x v="0"/>
    <n v="0"/>
    <n v="0"/>
    <n v="0"/>
    <n v="0"/>
    <n v="0"/>
    <n v="0"/>
    <n v="0"/>
    <n v="0"/>
    <n v="0"/>
    <n v="0"/>
    <n v="0"/>
    <n v="0"/>
    <n v="0"/>
    <n v="0"/>
    <n v="0"/>
    <n v="0"/>
    <n v="0"/>
    <n v="0"/>
    <n v="0"/>
    <n v="0"/>
    <n v="0"/>
    <n v="0"/>
    <n v="0"/>
    <n v="0"/>
    <n v="0"/>
    <n v="0"/>
    <n v="2"/>
    <n v="0"/>
    <n v="0"/>
    <n v="0"/>
  </r>
  <r>
    <x v="2"/>
    <s v="AAM-SC/SC"/>
    <x v="53"/>
    <s v="MUDUGILIYAR"/>
    <x v="0"/>
    <x v="6"/>
    <n v="0"/>
    <n v="0"/>
    <n v="20"/>
    <n v="0"/>
    <n v="16"/>
    <n v="169"/>
    <n v="1"/>
    <n v="1"/>
    <n v="0"/>
    <n v="23"/>
    <n v="0"/>
    <n v="16"/>
    <n v="0"/>
    <n v="0"/>
    <x v="0"/>
    <n v="0"/>
    <n v="0"/>
    <n v="0"/>
    <n v="0"/>
    <n v="0"/>
    <n v="0"/>
    <n v="0"/>
    <n v="0"/>
    <n v="0"/>
    <n v="0"/>
    <n v="0"/>
    <n v="0"/>
    <n v="0"/>
    <n v="0"/>
    <n v="0"/>
    <n v="0"/>
    <n v="0"/>
    <n v="0"/>
    <n v="0"/>
    <n v="0"/>
    <n v="0"/>
    <n v="0"/>
    <n v="0"/>
    <n v="0"/>
    <n v="0"/>
    <n v="0"/>
    <n v="0"/>
    <n v="0"/>
    <n v="0"/>
    <n v="0"/>
  </r>
  <r>
    <x v="2"/>
    <s v="AAM-SC/SC"/>
    <x v="57"/>
    <s v="MUDUHADU"/>
    <x v="0"/>
    <x v="15"/>
    <n v="0"/>
    <n v="0"/>
    <n v="30"/>
    <n v="0"/>
    <n v="30"/>
    <n v="207"/>
    <n v="1"/>
    <n v="2"/>
    <n v="0"/>
    <n v="31"/>
    <n v="29"/>
    <n v="28"/>
    <n v="0"/>
    <n v="0"/>
    <x v="0"/>
    <n v="0"/>
    <n v="0"/>
    <n v="0"/>
    <n v="0"/>
    <n v="0"/>
    <n v="0"/>
    <n v="0"/>
    <n v="0"/>
    <n v="0"/>
    <n v="0"/>
    <n v="0"/>
    <n v="0"/>
    <n v="0"/>
    <n v="0"/>
    <n v="0"/>
    <n v="0"/>
    <n v="0"/>
    <n v="0"/>
    <n v="0"/>
    <n v="0"/>
    <n v="0"/>
    <n v="0"/>
    <n v="0"/>
    <n v="0"/>
    <n v="0"/>
    <n v="0"/>
    <n v="0"/>
    <n v="0"/>
    <n v="0"/>
    <n v="0"/>
  </r>
  <r>
    <x v="2"/>
    <s v="AAM-SC/SC"/>
    <x v="50"/>
    <s v="MUNKINAJEDDU"/>
    <x v="0"/>
    <x v="6"/>
    <n v="0"/>
    <n v="0"/>
    <n v="20"/>
    <n v="0"/>
    <n v="18"/>
    <n v="112"/>
    <n v="0"/>
    <n v="0"/>
    <n v="0"/>
    <n v="8"/>
    <n v="8"/>
    <n v="14"/>
    <n v="0"/>
    <n v="0"/>
    <x v="0"/>
    <n v="0"/>
    <n v="0"/>
    <n v="0"/>
    <n v="0"/>
    <n v="0"/>
    <n v="0"/>
    <n v="0"/>
    <n v="0"/>
    <n v="0"/>
    <n v="0"/>
    <n v="0"/>
    <n v="0"/>
    <n v="0"/>
    <n v="0"/>
    <n v="0"/>
    <n v="0"/>
    <n v="0"/>
    <n v="0"/>
    <n v="0"/>
    <n v="0"/>
    <n v="0"/>
    <n v="0"/>
    <n v="0"/>
    <n v="0"/>
    <n v="0"/>
    <n v="0"/>
    <n v="0"/>
    <n v="0"/>
    <n v="0"/>
    <n v="0"/>
  </r>
  <r>
    <x v="2"/>
    <s v="AAM-SC/SC"/>
    <x v="59"/>
    <s v="NADUR"/>
    <x v="0"/>
    <x v="6"/>
    <n v="0"/>
    <n v="0"/>
    <n v="20"/>
    <n v="0"/>
    <n v="20"/>
    <n v="90"/>
    <n v="2"/>
    <n v="1"/>
    <n v="0"/>
    <n v="15"/>
    <n v="13"/>
    <n v="9"/>
    <n v="7"/>
    <n v="0"/>
    <x v="0"/>
    <n v="0"/>
    <n v="0"/>
    <n v="0"/>
    <n v="3"/>
    <n v="0"/>
    <n v="0"/>
    <n v="0"/>
    <n v="0"/>
    <n v="0"/>
    <n v="0"/>
    <n v="0"/>
    <n v="0"/>
    <n v="0"/>
    <n v="0"/>
    <n v="0"/>
    <n v="0"/>
    <n v="0"/>
    <n v="0"/>
    <n v="0"/>
    <n v="0"/>
    <n v="0"/>
    <n v="0"/>
    <n v="0"/>
    <n v="0"/>
    <n v="0"/>
    <n v="0"/>
    <n v="3"/>
    <n v="0"/>
    <n v="0"/>
    <n v="0"/>
  </r>
  <r>
    <x v="2"/>
    <s v="AAM-SC/SC"/>
    <x v="61"/>
    <s v="NALKUR"/>
    <x v="0"/>
    <x v="38"/>
    <n v="0"/>
    <n v="0"/>
    <n v="44"/>
    <n v="0"/>
    <n v="44"/>
    <n v="215"/>
    <n v="3"/>
    <n v="5"/>
    <n v="2"/>
    <n v="37"/>
    <n v="37"/>
    <n v="33"/>
    <n v="0"/>
    <n v="0"/>
    <x v="0"/>
    <n v="0"/>
    <n v="0"/>
    <n v="5"/>
    <n v="0"/>
    <n v="0"/>
    <n v="0"/>
    <n v="1"/>
    <n v="0"/>
    <n v="0"/>
    <n v="0"/>
    <n v="0"/>
    <n v="0"/>
    <n v="0"/>
    <n v="0"/>
    <n v="0"/>
    <n v="0"/>
    <n v="0"/>
    <n v="0"/>
    <n v="0"/>
    <n v="0"/>
    <n v="0"/>
    <n v="0"/>
    <n v="0"/>
    <n v="0"/>
    <n v="0"/>
    <n v="0"/>
    <n v="20"/>
    <n v="3"/>
    <n v="0"/>
    <n v="0"/>
  </r>
  <r>
    <x v="2"/>
    <s v="AAM-SC/SC"/>
    <x v="50"/>
    <s v="NEELAVARA"/>
    <x v="0"/>
    <x v="40"/>
    <n v="0"/>
    <n v="0"/>
    <n v="17"/>
    <n v="0"/>
    <n v="17"/>
    <n v="105"/>
    <n v="0"/>
    <n v="0"/>
    <n v="0"/>
    <n v="18"/>
    <n v="18"/>
    <n v="20"/>
    <n v="0"/>
    <n v="0"/>
    <x v="0"/>
    <n v="0"/>
    <n v="0"/>
    <n v="0"/>
    <n v="0"/>
    <n v="0"/>
    <n v="0"/>
    <n v="0"/>
    <n v="0"/>
    <n v="0"/>
    <n v="0"/>
    <n v="0"/>
    <n v="0"/>
    <n v="0"/>
    <n v="0"/>
    <n v="0"/>
    <n v="0"/>
    <n v="0"/>
    <n v="0"/>
    <n v="6"/>
    <n v="0"/>
    <n v="0"/>
    <n v="0"/>
    <n v="0"/>
    <n v="0"/>
    <n v="0"/>
    <n v="0"/>
    <n v="3"/>
    <n v="0"/>
    <n v="0"/>
    <n v="0"/>
  </r>
  <r>
    <x v="2"/>
    <s v="AAM-SC/SC"/>
    <x v="61"/>
    <s v="NENCHARU"/>
    <x v="0"/>
    <x v="19"/>
    <n v="0"/>
    <n v="0"/>
    <n v="18"/>
    <n v="0"/>
    <n v="18"/>
    <n v="130"/>
    <n v="1"/>
    <n v="0"/>
    <n v="0"/>
    <n v="25"/>
    <n v="25"/>
    <n v="20"/>
    <n v="0"/>
    <n v="0"/>
    <x v="0"/>
    <n v="0"/>
    <n v="0"/>
    <n v="2"/>
    <n v="0"/>
    <n v="0"/>
    <n v="0"/>
    <n v="0"/>
    <n v="0"/>
    <n v="0"/>
    <n v="0"/>
    <n v="0"/>
    <n v="0"/>
    <n v="0"/>
    <n v="0"/>
    <n v="0"/>
    <n v="0"/>
    <n v="0"/>
    <n v="0"/>
    <n v="0"/>
    <n v="0"/>
    <n v="0"/>
    <n v="0"/>
    <n v="0"/>
    <n v="0"/>
    <n v="0"/>
    <n v="0"/>
    <n v="6"/>
    <n v="0"/>
    <n v="0"/>
    <n v="0"/>
  </r>
  <r>
    <x v="2"/>
    <s v="AAM-SC/SC"/>
    <x v="57"/>
    <s v="PANDESHWARA"/>
    <x v="0"/>
    <x v="3"/>
    <n v="0"/>
    <n v="0"/>
    <n v="28"/>
    <n v="0"/>
    <n v="28"/>
    <n v="167"/>
    <n v="3"/>
    <n v="2"/>
    <n v="1"/>
    <n v="36"/>
    <n v="35"/>
    <n v="27"/>
    <n v="0"/>
    <n v="0"/>
    <x v="0"/>
    <n v="0"/>
    <n v="0"/>
    <n v="0"/>
    <n v="0"/>
    <n v="0"/>
    <n v="0"/>
    <n v="0"/>
    <n v="0"/>
    <n v="0"/>
    <n v="0"/>
    <n v="0"/>
    <n v="0"/>
    <n v="0"/>
    <n v="0"/>
    <n v="0"/>
    <n v="0"/>
    <n v="0"/>
    <n v="0"/>
    <n v="0"/>
    <n v="0"/>
    <n v="0"/>
    <n v="0"/>
    <n v="0"/>
    <n v="0"/>
    <n v="0"/>
    <n v="0"/>
    <n v="0"/>
    <n v="0"/>
    <n v="0"/>
    <n v="0"/>
  </r>
  <r>
    <x v="2"/>
    <s v="AAM-SC/SC"/>
    <x v="54"/>
    <s v="PARAMPALLI"/>
    <x v="0"/>
    <x v="23"/>
    <n v="1"/>
    <n v="0"/>
    <n v="40"/>
    <n v="0"/>
    <n v="37"/>
    <n v="233"/>
    <n v="5"/>
    <n v="7"/>
    <n v="1"/>
    <n v="52"/>
    <n v="47"/>
    <n v="49"/>
    <n v="44"/>
    <n v="0"/>
    <x v="0"/>
    <n v="0"/>
    <n v="0"/>
    <n v="0"/>
    <n v="0"/>
    <n v="0"/>
    <n v="0"/>
    <n v="0"/>
    <n v="0"/>
    <n v="0"/>
    <n v="0"/>
    <n v="0"/>
    <n v="0"/>
    <n v="0"/>
    <n v="0"/>
    <n v="0"/>
    <n v="0"/>
    <n v="0"/>
    <n v="0"/>
    <n v="0"/>
    <n v="0"/>
    <n v="0"/>
    <n v="0"/>
    <n v="0"/>
    <n v="0"/>
    <n v="0"/>
    <n v="0"/>
    <n v="9"/>
    <n v="0"/>
    <n v="0"/>
    <n v="0"/>
  </r>
  <r>
    <x v="2"/>
    <s v="AAM-SC/SC"/>
    <x v="61"/>
    <s v="PEJAMANGUR"/>
    <x v="0"/>
    <x v="38"/>
    <n v="0"/>
    <n v="0"/>
    <n v="43"/>
    <n v="0"/>
    <n v="43"/>
    <n v="213"/>
    <n v="0"/>
    <n v="0"/>
    <n v="0"/>
    <n v="42"/>
    <n v="42"/>
    <n v="37"/>
    <n v="0"/>
    <n v="0"/>
    <x v="0"/>
    <n v="0"/>
    <n v="0"/>
    <n v="0"/>
    <n v="0"/>
    <n v="0"/>
    <n v="0"/>
    <n v="0"/>
    <n v="0"/>
    <n v="0"/>
    <n v="0"/>
    <n v="0"/>
    <n v="0"/>
    <n v="0"/>
    <n v="0"/>
    <n v="0"/>
    <n v="0"/>
    <n v="0"/>
    <n v="0"/>
    <n v="0"/>
    <n v="0"/>
    <n v="0"/>
    <n v="0"/>
    <n v="0"/>
    <n v="0"/>
    <n v="0"/>
    <n v="0"/>
    <n v="11"/>
    <n v="1"/>
    <n v="0"/>
    <n v="0"/>
  </r>
  <r>
    <x v="2"/>
    <s v="AAM-SC/SC"/>
    <x v="50"/>
    <s v="PETHRI"/>
    <x v="0"/>
    <x v="42"/>
    <n v="0"/>
    <n v="0"/>
    <n v="32"/>
    <n v="0"/>
    <n v="28"/>
    <n v="200"/>
    <n v="0"/>
    <n v="0"/>
    <n v="0"/>
    <n v="14"/>
    <n v="14"/>
    <n v="23"/>
    <n v="0"/>
    <n v="0"/>
    <x v="0"/>
    <n v="0"/>
    <n v="0"/>
    <n v="0"/>
    <n v="0"/>
    <n v="0"/>
    <n v="0"/>
    <n v="0"/>
    <n v="0"/>
    <n v="0"/>
    <n v="0"/>
    <n v="0"/>
    <n v="0"/>
    <n v="0"/>
    <n v="0"/>
    <n v="0"/>
    <n v="0"/>
    <n v="0"/>
    <n v="0"/>
    <n v="4"/>
    <n v="0"/>
    <n v="0"/>
    <n v="0"/>
    <n v="0"/>
    <n v="0"/>
    <n v="0"/>
    <n v="0"/>
    <n v="8"/>
    <n v="0"/>
    <n v="0"/>
    <n v="0"/>
  </r>
  <r>
    <x v="2"/>
    <s v="AAM-SC/SC"/>
    <x v="59"/>
    <s v="SHIROOR A"/>
    <x v="0"/>
    <x v="16"/>
    <n v="0"/>
    <n v="0"/>
    <n v="22"/>
    <n v="0"/>
    <n v="21"/>
    <n v="89"/>
    <n v="1"/>
    <n v="1"/>
    <n v="0"/>
    <n v="98"/>
    <n v="14"/>
    <n v="7"/>
    <n v="5"/>
    <n v="0"/>
    <x v="0"/>
    <n v="0"/>
    <n v="0"/>
    <n v="0"/>
    <n v="3"/>
    <n v="0"/>
    <n v="0"/>
    <n v="0"/>
    <n v="0"/>
    <n v="0"/>
    <n v="0"/>
    <n v="0"/>
    <n v="0"/>
    <n v="0"/>
    <n v="0"/>
    <n v="0"/>
    <n v="0"/>
    <n v="0"/>
    <n v="0"/>
    <n v="0"/>
    <n v="0"/>
    <n v="0"/>
    <n v="0"/>
    <n v="0"/>
    <n v="0"/>
    <n v="0"/>
    <n v="0"/>
    <n v="0"/>
    <n v="0"/>
    <n v="0"/>
    <n v="0"/>
  </r>
  <r>
    <x v="2"/>
    <s v="AAM-SC/SC"/>
    <x v="62"/>
    <s v="SHIROOR B (41)"/>
    <x v="0"/>
    <x v="22"/>
    <n v="0"/>
    <n v="0"/>
    <n v="15"/>
    <n v="0"/>
    <n v="15"/>
    <n v="129"/>
    <n v="2"/>
    <n v="7"/>
    <n v="2"/>
    <n v="20"/>
    <n v="19"/>
    <n v="9"/>
    <n v="11"/>
    <n v="0"/>
    <x v="0"/>
    <n v="0"/>
    <n v="0"/>
    <n v="0"/>
    <n v="0"/>
    <n v="0"/>
    <n v="0"/>
    <n v="0"/>
    <n v="0"/>
    <n v="0"/>
    <n v="0"/>
    <n v="0"/>
    <n v="0"/>
    <n v="0"/>
    <n v="0"/>
    <n v="0"/>
    <n v="0"/>
    <n v="0"/>
    <n v="0"/>
    <n v="6"/>
    <n v="0"/>
    <n v="0"/>
    <n v="0"/>
    <n v="0"/>
    <n v="0"/>
    <n v="0"/>
    <n v="0"/>
    <n v="0"/>
    <n v="0"/>
    <n v="0"/>
    <n v="0"/>
  </r>
  <r>
    <x v="2"/>
    <s v="AAM-SC/SC"/>
    <x v="49"/>
    <s v="SIRIYARA"/>
    <x v="0"/>
    <x v="51"/>
    <n v="0"/>
    <n v="0"/>
    <n v="56"/>
    <n v="0"/>
    <n v="49"/>
    <n v="266"/>
    <n v="6"/>
    <n v="5"/>
    <n v="1"/>
    <n v="45"/>
    <n v="45"/>
    <n v="29"/>
    <n v="12"/>
    <n v="0"/>
    <x v="0"/>
    <n v="0"/>
    <n v="0"/>
    <n v="0"/>
    <n v="0"/>
    <n v="0"/>
    <n v="0"/>
    <n v="0"/>
    <n v="0"/>
    <n v="0"/>
    <n v="0"/>
    <n v="0"/>
    <n v="0"/>
    <n v="0"/>
    <n v="0"/>
    <n v="0"/>
    <n v="0"/>
    <n v="0"/>
    <n v="0"/>
    <n v="0"/>
    <n v="0"/>
    <n v="0"/>
    <n v="0"/>
    <n v="0"/>
    <n v="0"/>
    <n v="0"/>
    <n v="0"/>
    <n v="2"/>
    <n v="0"/>
    <n v="0"/>
    <n v="0"/>
  </r>
  <r>
    <x v="2"/>
    <s v="AAM-SC/SC"/>
    <x v="58"/>
    <s v="UPOOR"/>
    <x v="0"/>
    <x v="42"/>
    <n v="0"/>
    <n v="0"/>
    <n v="32"/>
    <n v="0"/>
    <n v="32"/>
    <n v="75"/>
    <n v="2"/>
    <n v="2"/>
    <n v="0"/>
    <n v="26"/>
    <n v="26"/>
    <n v="0"/>
    <n v="0"/>
    <n v="0"/>
    <x v="0"/>
    <n v="0"/>
    <n v="0"/>
    <n v="0"/>
    <n v="0"/>
    <n v="0"/>
    <n v="0"/>
    <n v="0"/>
    <n v="0"/>
    <n v="0"/>
    <n v="0"/>
    <n v="0"/>
    <n v="0"/>
    <n v="0"/>
    <n v="0"/>
    <n v="0"/>
    <n v="0"/>
    <n v="0"/>
    <n v="0"/>
    <n v="32"/>
    <n v="0"/>
    <n v="0"/>
    <n v="0"/>
    <n v="0"/>
    <n v="0"/>
    <n v="0"/>
    <n v="0"/>
    <n v="0"/>
    <n v="0"/>
    <n v="0"/>
    <n v="0"/>
  </r>
  <r>
    <x v="2"/>
    <s v="AAM-SC/SC"/>
    <x v="51"/>
    <s v="VANDARA"/>
    <x v="0"/>
    <x v="7"/>
    <n v="0"/>
    <n v="0"/>
    <n v="35"/>
    <n v="0"/>
    <n v="35"/>
    <n v="195"/>
    <n v="9"/>
    <n v="8"/>
    <n v="0"/>
    <n v="25"/>
    <n v="25"/>
    <n v="22"/>
    <n v="0"/>
    <n v="0"/>
    <x v="0"/>
    <n v="0"/>
    <n v="0"/>
    <n v="0"/>
    <n v="0"/>
    <n v="0"/>
    <n v="0"/>
    <n v="0"/>
    <n v="0"/>
    <n v="0"/>
    <n v="0"/>
    <n v="0"/>
    <n v="0"/>
    <n v="0"/>
    <n v="0"/>
    <n v="0"/>
    <n v="0"/>
    <n v="0"/>
    <n v="0"/>
    <n v="0"/>
    <n v="0"/>
    <n v="0"/>
    <n v="0"/>
    <n v="0"/>
    <n v="0"/>
    <n v="0"/>
    <n v="0"/>
    <n v="0"/>
    <n v="0"/>
    <n v="0"/>
    <n v="0"/>
  </r>
  <r>
    <x v="2"/>
    <s v="AAM-SC/SC"/>
    <x v="52"/>
    <s v="VARAMBALLI"/>
    <x v="0"/>
    <x v="17"/>
    <n v="0"/>
    <n v="0"/>
    <n v="33"/>
    <n v="0"/>
    <n v="32"/>
    <n v="142"/>
    <n v="2"/>
    <n v="4"/>
    <n v="2"/>
    <n v="23"/>
    <n v="23"/>
    <n v="26"/>
    <n v="0"/>
    <n v="0"/>
    <x v="0"/>
    <n v="0"/>
    <n v="0"/>
    <n v="0"/>
    <n v="0"/>
    <n v="0"/>
    <n v="0"/>
    <n v="0"/>
    <n v="0"/>
    <n v="0"/>
    <n v="0"/>
    <n v="0"/>
    <n v="0"/>
    <n v="0"/>
    <n v="0"/>
    <n v="0"/>
    <n v="0"/>
    <n v="0"/>
    <n v="0"/>
    <n v="0"/>
    <n v="0"/>
    <n v="0"/>
    <n v="0"/>
    <n v="0"/>
    <n v="0"/>
    <n v="0"/>
    <n v="0"/>
    <n v="13"/>
    <n v="0"/>
    <n v="0"/>
    <n v="0"/>
  </r>
  <r>
    <x v="2"/>
    <s v="AAM-SC/SC"/>
    <x v="49"/>
    <s v="YEDTADI"/>
    <x v="0"/>
    <x v="54"/>
    <n v="0"/>
    <n v="0"/>
    <n v="49"/>
    <n v="0"/>
    <n v="49"/>
    <n v="265"/>
    <n v="11"/>
    <n v="8"/>
    <n v="1"/>
    <n v="45"/>
    <n v="45"/>
    <n v="34"/>
    <n v="0"/>
    <n v="0"/>
    <x v="0"/>
    <n v="0"/>
    <n v="0"/>
    <n v="0"/>
    <n v="0"/>
    <n v="0"/>
    <n v="0"/>
    <n v="0"/>
    <n v="0"/>
    <n v="0"/>
    <n v="0"/>
    <n v="0"/>
    <n v="0"/>
    <n v="0"/>
    <n v="0"/>
    <n v="0"/>
    <n v="0"/>
    <n v="0"/>
    <n v="0"/>
    <n v="0"/>
    <n v="0"/>
    <n v="0"/>
    <n v="0"/>
    <n v="0"/>
    <n v="0"/>
    <n v="0"/>
    <n v="0"/>
    <n v="0"/>
    <n v="0"/>
    <n v="0"/>
    <n v="0"/>
  </r>
  <r>
    <x v="2"/>
    <s v="AAM-PHC/PHC"/>
    <x v="55"/>
    <s v="KARUJE"/>
    <x v="0"/>
    <x v="12"/>
    <n v="0"/>
    <n v="0"/>
    <n v="0"/>
    <n v="0"/>
    <n v="0"/>
    <n v="593"/>
    <n v="81"/>
    <n v="63"/>
    <n v="8"/>
    <n v="0"/>
    <n v="0"/>
    <n v="121"/>
    <n v="103"/>
    <n v="0"/>
    <x v="0"/>
    <n v="0"/>
    <n v="0"/>
    <n v="88"/>
    <n v="41"/>
    <n v="0"/>
    <n v="0"/>
    <n v="20"/>
    <n v="1"/>
    <n v="0"/>
    <n v="1"/>
    <n v="52"/>
    <n v="0"/>
    <n v="0"/>
    <n v="0"/>
    <n v="0"/>
    <n v="0"/>
    <n v="0"/>
    <n v="0"/>
    <n v="60"/>
    <n v="4"/>
    <n v="0"/>
    <n v="0"/>
    <n v="0"/>
    <n v="0"/>
    <n v="0"/>
    <n v="0"/>
    <n v="66"/>
    <n v="3"/>
    <n v="0"/>
    <n v="0"/>
  </r>
  <r>
    <x v="2"/>
    <s v="AAM-PHC/PHC"/>
    <x v="61"/>
    <s v="KOKKARNE"/>
    <x v="0"/>
    <x v="12"/>
    <n v="0"/>
    <n v="0"/>
    <n v="0"/>
    <n v="0"/>
    <n v="0"/>
    <n v="626"/>
    <n v="64"/>
    <n v="49"/>
    <n v="23"/>
    <n v="0"/>
    <n v="0"/>
    <n v="0"/>
    <n v="115"/>
    <n v="0"/>
    <x v="0"/>
    <n v="0"/>
    <n v="0"/>
    <n v="115"/>
    <n v="21"/>
    <n v="1"/>
    <n v="1"/>
    <n v="21"/>
    <n v="0"/>
    <n v="0"/>
    <n v="0"/>
    <n v="93"/>
    <n v="0"/>
    <n v="0"/>
    <n v="0"/>
    <n v="0"/>
    <n v="0"/>
    <n v="0"/>
    <n v="0"/>
    <n v="0"/>
    <n v="0"/>
    <n v="0"/>
    <n v="0"/>
    <n v="0"/>
    <n v="0"/>
    <n v="0"/>
    <n v="0"/>
    <n v="7"/>
    <n v="8"/>
    <n v="0"/>
    <n v="0"/>
  </r>
  <r>
    <x v="2"/>
    <s v="AAM-PHC/PHC"/>
    <x v="58"/>
    <s v="KOLALAGIRI"/>
    <x v="0"/>
    <x v="12"/>
    <n v="0"/>
    <n v="0"/>
    <n v="0"/>
    <n v="0"/>
    <n v="0"/>
    <n v="131"/>
    <n v="31"/>
    <n v="32"/>
    <n v="2"/>
    <n v="2"/>
    <n v="2"/>
    <n v="80"/>
    <n v="63"/>
    <n v="1"/>
    <x v="0"/>
    <n v="0"/>
    <n v="0"/>
    <n v="6"/>
    <n v="31"/>
    <n v="0"/>
    <n v="0"/>
    <n v="1"/>
    <n v="0"/>
    <n v="0"/>
    <n v="0"/>
    <n v="76"/>
    <n v="0"/>
    <n v="0"/>
    <n v="0"/>
    <n v="0"/>
    <n v="0"/>
    <n v="0"/>
    <n v="0"/>
    <n v="0"/>
    <n v="0"/>
    <n v="0"/>
    <n v="0"/>
    <n v="0"/>
    <n v="0"/>
    <n v="0"/>
    <n v="0"/>
    <n v="0"/>
    <n v="0"/>
    <n v="0"/>
    <n v="0"/>
  </r>
  <r>
    <x v="2"/>
    <s v="AAM-PHC/PHC"/>
    <x v="50"/>
    <s v="PETRI"/>
    <x v="0"/>
    <x v="12"/>
    <n v="0"/>
    <n v="0"/>
    <n v="0"/>
    <n v="0"/>
    <n v="0"/>
    <n v="116"/>
    <n v="36"/>
    <n v="34"/>
    <n v="4"/>
    <n v="0"/>
    <n v="0"/>
    <n v="21"/>
    <n v="73"/>
    <n v="0"/>
    <x v="0"/>
    <n v="0"/>
    <n v="0"/>
    <n v="186"/>
    <n v="57"/>
    <n v="0"/>
    <n v="0"/>
    <n v="0"/>
    <n v="0"/>
    <n v="0"/>
    <n v="0"/>
    <n v="56"/>
    <n v="1"/>
    <n v="0"/>
    <n v="0"/>
    <n v="0"/>
    <n v="0"/>
    <n v="0"/>
    <n v="0"/>
    <n v="0"/>
    <n v="0"/>
    <n v="0"/>
    <n v="0"/>
    <n v="0"/>
    <n v="0"/>
    <n v="0"/>
    <n v="0"/>
    <n v="0"/>
    <n v="0"/>
    <n v="0"/>
    <n v="0"/>
  </r>
  <r>
    <x v="2"/>
    <s v="Community Health Centre"/>
    <x v="52"/>
    <s v="BRAHMAVARA"/>
    <x v="0"/>
    <x v="12"/>
    <n v="0"/>
    <n v="0"/>
    <n v="0"/>
    <n v="0"/>
    <n v="0"/>
    <n v="203"/>
    <n v="109"/>
    <n v="87"/>
    <n v="7"/>
    <n v="0"/>
    <n v="0"/>
    <n v="42"/>
    <n v="205"/>
    <n v="4"/>
    <x v="1"/>
    <n v="0"/>
    <n v="0"/>
    <n v="98"/>
    <n v="173"/>
    <n v="2"/>
    <n v="2"/>
    <n v="0"/>
    <n v="0"/>
    <n v="0"/>
    <n v="0"/>
    <n v="215"/>
    <n v="0"/>
    <n v="0"/>
    <n v="0"/>
    <n v="0"/>
    <n v="0"/>
    <n v="0"/>
    <n v="0"/>
    <n v="2"/>
    <n v="1"/>
    <n v="0"/>
    <n v="0"/>
    <n v="0"/>
    <n v="0"/>
    <n v="0"/>
    <n v="0"/>
    <n v="0"/>
    <n v="23"/>
    <n v="0"/>
    <n v="0"/>
  </r>
  <r>
    <x v="2"/>
    <s v="Community Health Centre"/>
    <x v="53"/>
    <s v="KOTA"/>
    <x v="0"/>
    <x v="12"/>
    <n v="0"/>
    <n v="0"/>
    <n v="0"/>
    <n v="0"/>
    <n v="0"/>
    <n v="181"/>
    <n v="86"/>
    <n v="88"/>
    <n v="7"/>
    <n v="0"/>
    <n v="0"/>
    <n v="0"/>
    <n v="253"/>
    <n v="3"/>
    <x v="3"/>
    <n v="7"/>
    <n v="0"/>
    <n v="393"/>
    <n v="136"/>
    <n v="1"/>
    <n v="1"/>
    <n v="0"/>
    <n v="0"/>
    <n v="0"/>
    <n v="0"/>
    <n v="63"/>
    <n v="0"/>
    <n v="0"/>
    <n v="0"/>
    <n v="0"/>
    <n v="0"/>
    <n v="0"/>
    <n v="0"/>
    <n v="0"/>
    <n v="0"/>
    <n v="0"/>
    <n v="1"/>
    <n v="0"/>
    <n v="0"/>
    <n v="0"/>
    <n v="1"/>
    <n v="142"/>
    <n v="29"/>
    <n v="0"/>
    <n v="0"/>
  </r>
  <r>
    <x v="2"/>
    <s v="AAM-SC/SC"/>
    <x v="63"/>
    <s v="108 KALATHURU"/>
    <x v="0"/>
    <x v="17"/>
    <n v="0"/>
    <n v="0"/>
    <n v="33"/>
    <n v="0"/>
    <n v="30"/>
    <n v="182"/>
    <n v="5"/>
    <n v="5"/>
    <n v="2"/>
    <n v="38"/>
    <n v="39"/>
    <n v="38"/>
    <n v="37"/>
    <n v="0"/>
    <x v="0"/>
    <n v="0"/>
    <n v="0"/>
    <n v="0"/>
    <n v="0"/>
    <n v="0"/>
    <n v="0"/>
    <n v="0"/>
    <n v="0"/>
    <n v="0"/>
    <n v="0"/>
    <n v="0"/>
    <n v="0"/>
    <n v="0"/>
    <n v="0"/>
    <n v="0"/>
    <n v="0"/>
    <n v="0"/>
    <n v="0"/>
    <n v="0"/>
    <n v="0"/>
    <n v="0"/>
    <n v="0"/>
    <n v="0"/>
    <n v="0"/>
    <n v="0"/>
    <n v="0"/>
    <n v="0"/>
    <n v="0"/>
    <n v="0"/>
    <n v="0"/>
  </r>
  <r>
    <x v="2"/>
    <s v="AAM-SC/SC"/>
    <x v="64"/>
    <s v="92 HEROOR"/>
    <x v="0"/>
    <x v="21"/>
    <n v="0"/>
    <n v="0"/>
    <n v="6"/>
    <n v="0"/>
    <n v="3"/>
    <n v="28"/>
    <n v="3"/>
    <n v="3"/>
    <n v="1"/>
    <n v="6"/>
    <n v="6"/>
    <n v="4"/>
    <n v="0"/>
    <n v="0"/>
    <x v="0"/>
    <n v="0"/>
    <n v="0"/>
    <n v="0"/>
    <n v="0"/>
    <n v="0"/>
    <n v="0"/>
    <n v="0"/>
    <n v="0"/>
    <n v="0"/>
    <n v="0"/>
    <n v="0"/>
    <n v="0"/>
    <n v="0"/>
    <n v="0"/>
    <n v="0"/>
    <n v="0"/>
    <n v="0"/>
    <n v="0"/>
    <n v="0"/>
    <n v="0"/>
    <n v="0"/>
    <n v="0"/>
    <n v="0"/>
    <n v="0"/>
    <n v="0"/>
    <n v="0"/>
    <n v="0"/>
    <n v="0"/>
    <n v="0"/>
    <n v="0"/>
  </r>
  <r>
    <x v="2"/>
    <s v="AAM-SC/SC"/>
    <x v="65"/>
    <s v="BADA"/>
    <x v="0"/>
    <x v="67"/>
    <n v="0"/>
    <n v="0"/>
    <n v="86"/>
    <n v="0"/>
    <n v="86"/>
    <n v="280"/>
    <n v="4"/>
    <n v="8"/>
    <n v="2"/>
    <n v="73"/>
    <n v="73"/>
    <n v="75"/>
    <n v="0"/>
    <n v="0"/>
    <x v="0"/>
    <n v="0"/>
    <n v="0"/>
    <n v="0"/>
    <n v="0"/>
    <n v="0"/>
    <n v="0"/>
    <n v="0"/>
    <n v="0"/>
    <n v="0"/>
    <n v="0"/>
    <n v="0"/>
    <n v="0"/>
    <n v="0"/>
    <n v="0"/>
    <n v="0"/>
    <n v="0"/>
    <n v="0"/>
    <n v="0"/>
    <n v="0"/>
    <n v="0"/>
    <n v="0"/>
    <n v="0"/>
    <n v="0"/>
    <n v="0"/>
    <n v="0"/>
    <n v="0"/>
    <n v="0"/>
    <n v="0"/>
    <n v="0"/>
    <n v="0"/>
  </r>
  <r>
    <x v="2"/>
    <s v="AAM-SC/SC"/>
    <x v="63"/>
    <s v="BELAPU"/>
    <x v="0"/>
    <x v="68"/>
    <n v="0"/>
    <n v="0"/>
    <n v="65"/>
    <n v="0"/>
    <n v="54"/>
    <n v="388"/>
    <n v="4"/>
    <n v="8"/>
    <n v="0"/>
    <n v="72"/>
    <n v="66"/>
    <n v="46"/>
    <n v="69"/>
    <n v="0"/>
    <x v="0"/>
    <n v="0"/>
    <n v="0"/>
    <n v="0"/>
    <n v="0"/>
    <n v="0"/>
    <n v="0"/>
    <n v="0"/>
    <n v="0"/>
    <n v="0"/>
    <n v="0"/>
    <n v="0"/>
    <n v="0"/>
    <n v="0"/>
    <n v="0"/>
    <n v="0"/>
    <n v="0"/>
    <n v="0"/>
    <n v="0"/>
    <n v="0"/>
    <n v="0"/>
    <n v="0"/>
    <n v="0"/>
    <n v="0"/>
    <n v="0"/>
    <n v="0"/>
    <n v="0"/>
    <n v="0"/>
    <n v="0"/>
    <n v="0"/>
    <n v="0"/>
  </r>
  <r>
    <x v="2"/>
    <s v="AAM-SC/SC"/>
    <x v="66"/>
    <s v="GUDDEYENGADI"/>
    <x v="0"/>
    <x v="69"/>
    <n v="0"/>
    <n v="0"/>
    <n v="54"/>
    <n v="0"/>
    <n v="54"/>
    <n v="221"/>
    <n v="21"/>
    <n v="20"/>
    <n v="0"/>
    <n v="41"/>
    <n v="41"/>
    <n v="29"/>
    <n v="0"/>
    <n v="0"/>
    <x v="0"/>
    <n v="0"/>
    <n v="0"/>
    <n v="0"/>
    <n v="0"/>
    <n v="0"/>
    <n v="0"/>
    <n v="0"/>
    <n v="0"/>
    <n v="0"/>
    <n v="0"/>
    <n v="0"/>
    <n v="0"/>
    <n v="0"/>
    <n v="0"/>
    <n v="0"/>
    <n v="0"/>
    <n v="0"/>
    <n v="0"/>
    <n v="0"/>
    <n v="0"/>
    <n v="0"/>
    <n v="0"/>
    <n v="0"/>
    <n v="0"/>
    <n v="0"/>
    <n v="0"/>
    <n v="1"/>
    <n v="0"/>
    <n v="0"/>
    <n v="0"/>
  </r>
  <r>
    <x v="2"/>
    <s v="AAM-SC/SC"/>
    <x v="65"/>
    <s v="HEJAMADI A"/>
    <x v="0"/>
    <x v="50"/>
    <n v="0"/>
    <n v="0"/>
    <n v="52"/>
    <n v="0"/>
    <n v="52"/>
    <n v="140"/>
    <n v="8"/>
    <n v="5"/>
    <n v="2"/>
    <n v="48"/>
    <n v="48"/>
    <n v="42"/>
    <n v="0"/>
    <n v="0"/>
    <x v="0"/>
    <n v="0"/>
    <n v="0"/>
    <n v="0"/>
    <n v="0"/>
    <n v="0"/>
    <n v="0"/>
    <n v="0"/>
    <n v="0"/>
    <n v="0"/>
    <n v="0"/>
    <n v="0"/>
    <n v="0"/>
    <n v="0"/>
    <n v="0"/>
    <n v="0"/>
    <n v="0"/>
    <n v="0"/>
    <n v="0"/>
    <n v="2"/>
    <n v="0"/>
    <n v="0"/>
    <n v="0"/>
    <n v="0"/>
    <n v="0"/>
    <n v="0"/>
    <n v="0"/>
    <n v="0"/>
    <n v="0"/>
    <n v="0"/>
    <n v="0"/>
  </r>
  <r>
    <x v="2"/>
    <s v="AAM-SC/SC"/>
    <x v="65"/>
    <s v="HEJAMADI B"/>
    <x v="0"/>
    <x v="38"/>
    <n v="0"/>
    <n v="0"/>
    <n v="44"/>
    <n v="0"/>
    <n v="41"/>
    <n v="153"/>
    <n v="3"/>
    <n v="2"/>
    <n v="0"/>
    <n v="47"/>
    <n v="39"/>
    <n v="34"/>
    <n v="22"/>
    <n v="0"/>
    <x v="0"/>
    <n v="0"/>
    <n v="0"/>
    <n v="0"/>
    <n v="0"/>
    <n v="0"/>
    <n v="0"/>
    <n v="0"/>
    <n v="0"/>
    <n v="0"/>
    <n v="0"/>
    <n v="0"/>
    <n v="0"/>
    <n v="0"/>
    <n v="0"/>
    <n v="0"/>
    <n v="0"/>
    <n v="0"/>
    <n v="0"/>
    <n v="0"/>
    <n v="0"/>
    <n v="0"/>
    <n v="0"/>
    <n v="0"/>
    <n v="0"/>
    <n v="0"/>
    <n v="0"/>
    <n v="4"/>
    <n v="0"/>
    <n v="0"/>
    <n v="0"/>
  </r>
  <r>
    <x v="2"/>
    <s v="AAM-SC/SC"/>
    <x v="64"/>
    <s v="INNANJE"/>
    <x v="0"/>
    <x v="4"/>
    <n v="1"/>
    <n v="0"/>
    <n v="18"/>
    <n v="4"/>
    <n v="9"/>
    <n v="70"/>
    <n v="0"/>
    <n v="4"/>
    <n v="0"/>
    <n v="12"/>
    <n v="4"/>
    <n v="7"/>
    <n v="16"/>
    <n v="0"/>
    <x v="0"/>
    <n v="0"/>
    <n v="0"/>
    <n v="0"/>
    <n v="0"/>
    <n v="0"/>
    <n v="0"/>
    <n v="0"/>
    <n v="0"/>
    <n v="0"/>
    <n v="0"/>
    <n v="0"/>
    <n v="0"/>
    <n v="0"/>
    <n v="0"/>
    <n v="0"/>
    <n v="0"/>
    <n v="0"/>
    <n v="0"/>
    <n v="0"/>
    <n v="0"/>
    <n v="0"/>
    <n v="0"/>
    <n v="0"/>
    <n v="0"/>
    <n v="0"/>
    <n v="0"/>
    <n v="1"/>
    <n v="0"/>
    <n v="0"/>
    <n v="0"/>
  </r>
  <r>
    <x v="2"/>
    <s v="AAM-SC/SC"/>
    <x v="67"/>
    <s v="KATTINGERI"/>
    <x v="0"/>
    <x v="0"/>
    <n v="0"/>
    <n v="0"/>
    <n v="21"/>
    <n v="0"/>
    <n v="21"/>
    <n v="59"/>
    <n v="4"/>
    <n v="2"/>
    <n v="0"/>
    <n v="17"/>
    <n v="17"/>
    <n v="18"/>
    <n v="0"/>
    <n v="0"/>
    <x v="0"/>
    <n v="0"/>
    <n v="0"/>
    <n v="2"/>
    <n v="1"/>
    <n v="0"/>
    <n v="0"/>
    <n v="0"/>
    <n v="0"/>
    <n v="0"/>
    <n v="0"/>
    <n v="0"/>
    <n v="0"/>
    <n v="0"/>
    <n v="0"/>
    <n v="0"/>
    <n v="0"/>
    <n v="0"/>
    <n v="0"/>
    <n v="0"/>
    <n v="0"/>
    <n v="0"/>
    <n v="0"/>
    <n v="0"/>
    <n v="0"/>
    <n v="0"/>
    <n v="0"/>
    <n v="0"/>
    <n v="0"/>
    <n v="0"/>
    <n v="0"/>
  </r>
  <r>
    <x v="2"/>
    <s v="AAM-SC/SC"/>
    <x v="66"/>
    <s v="KOTE"/>
    <x v="0"/>
    <x v="7"/>
    <n v="0"/>
    <n v="0"/>
    <n v="35"/>
    <n v="0"/>
    <n v="27"/>
    <n v="199"/>
    <n v="6"/>
    <n v="8"/>
    <n v="1"/>
    <n v="32"/>
    <n v="32"/>
    <n v="26"/>
    <n v="0"/>
    <n v="0"/>
    <x v="0"/>
    <n v="0"/>
    <n v="0"/>
    <n v="0"/>
    <n v="0"/>
    <n v="0"/>
    <n v="0"/>
    <n v="0"/>
    <n v="0"/>
    <n v="0"/>
    <n v="0"/>
    <n v="0"/>
    <n v="0"/>
    <n v="0"/>
    <n v="0"/>
    <n v="0"/>
    <n v="0"/>
    <n v="0"/>
    <n v="0"/>
    <n v="0"/>
    <n v="0"/>
    <n v="0"/>
    <n v="0"/>
    <n v="0"/>
    <n v="0"/>
    <n v="0"/>
    <n v="0"/>
    <n v="2"/>
    <n v="0"/>
    <n v="0"/>
    <n v="0"/>
  </r>
  <r>
    <x v="2"/>
    <s v="AAM-SC/SC"/>
    <x v="67"/>
    <s v="KUDI 82"/>
    <x v="0"/>
    <x v="3"/>
    <n v="0"/>
    <n v="0"/>
    <n v="28"/>
    <n v="0"/>
    <n v="28"/>
    <n v="101"/>
    <n v="0"/>
    <n v="2"/>
    <n v="1"/>
    <n v="28"/>
    <n v="24"/>
    <n v="28"/>
    <n v="0"/>
    <n v="0"/>
    <x v="0"/>
    <n v="0"/>
    <n v="0"/>
    <n v="29"/>
    <n v="4"/>
    <n v="0"/>
    <n v="0"/>
    <n v="0"/>
    <n v="0"/>
    <n v="0"/>
    <n v="0"/>
    <n v="0"/>
    <n v="0"/>
    <n v="0"/>
    <n v="0"/>
    <n v="0"/>
    <n v="0"/>
    <n v="0"/>
    <n v="0"/>
    <n v="0"/>
    <n v="0"/>
    <n v="0"/>
    <n v="0"/>
    <n v="0"/>
    <n v="0"/>
    <n v="0"/>
    <n v="0"/>
    <n v="0"/>
    <n v="0"/>
    <n v="0"/>
    <n v="0"/>
  </r>
  <r>
    <x v="2"/>
    <s v="AAM-SC/SC"/>
    <x v="66"/>
    <s v="KURKALU"/>
    <x v="0"/>
    <x v="14"/>
    <n v="0"/>
    <n v="0"/>
    <n v="45"/>
    <n v="0"/>
    <n v="44"/>
    <n v="295"/>
    <n v="9"/>
    <n v="6"/>
    <n v="0"/>
    <n v="32"/>
    <n v="32"/>
    <n v="24"/>
    <n v="4"/>
    <n v="0"/>
    <x v="0"/>
    <n v="0"/>
    <n v="0"/>
    <n v="0"/>
    <n v="0"/>
    <n v="0"/>
    <n v="0"/>
    <n v="0"/>
    <n v="0"/>
    <n v="0"/>
    <n v="0"/>
    <n v="0"/>
    <n v="0"/>
    <n v="0"/>
    <n v="0"/>
    <n v="0"/>
    <n v="0"/>
    <n v="0"/>
    <n v="0"/>
    <n v="0"/>
    <n v="0"/>
    <n v="0"/>
    <n v="0"/>
    <n v="0"/>
    <n v="0"/>
    <n v="0"/>
    <n v="0"/>
    <n v="4"/>
    <n v="0"/>
    <n v="0"/>
    <n v="0"/>
  </r>
  <r>
    <x v="2"/>
    <s v="AAM-SC/SC"/>
    <x v="63"/>
    <s v="KUTHYARU"/>
    <x v="0"/>
    <x v="6"/>
    <n v="0"/>
    <n v="0"/>
    <n v="20"/>
    <n v="0"/>
    <n v="19"/>
    <n v="147"/>
    <n v="2"/>
    <n v="2"/>
    <n v="0"/>
    <n v="15"/>
    <n v="15"/>
    <n v="11"/>
    <n v="15"/>
    <n v="0"/>
    <x v="0"/>
    <n v="0"/>
    <n v="0"/>
    <n v="0"/>
    <n v="0"/>
    <n v="0"/>
    <n v="0"/>
    <n v="0"/>
    <n v="0"/>
    <n v="0"/>
    <n v="0"/>
    <n v="0"/>
    <n v="0"/>
    <n v="0"/>
    <n v="0"/>
    <n v="0"/>
    <n v="0"/>
    <n v="0"/>
    <n v="0"/>
    <n v="0"/>
    <n v="0"/>
    <n v="0"/>
    <n v="0"/>
    <n v="0"/>
    <n v="0"/>
    <n v="0"/>
    <n v="0"/>
    <n v="0"/>
    <n v="0"/>
    <n v="0"/>
    <n v="0"/>
  </r>
  <r>
    <x v="2"/>
    <s v="AAM-SC/SC"/>
    <x v="64"/>
    <s v="MAJOOR"/>
    <x v="0"/>
    <x v="45"/>
    <n v="0"/>
    <n v="0"/>
    <n v="27"/>
    <n v="0"/>
    <n v="26"/>
    <n v="168"/>
    <n v="7"/>
    <n v="7"/>
    <n v="1"/>
    <n v="22"/>
    <n v="3"/>
    <n v="23"/>
    <n v="22"/>
    <n v="0"/>
    <x v="0"/>
    <n v="0"/>
    <n v="0"/>
    <n v="0"/>
    <n v="0"/>
    <n v="0"/>
    <n v="0"/>
    <n v="0"/>
    <n v="0"/>
    <n v="0"/>
    <n v="0"/>
    <n v="0"/>
    <n v="0"/>
    <n v="0"/>
    <n v="0"/>
    <n v="0"/>
    <n v="0"/>
    <n v="0"/>
    <n v="0"/>
    <n v="0"/>
    <n v="0"/>
    <n v="0"/>
    <n v="0"/>
    <n v="0"/>
    <n v="0"/>
    <n v="0"/>
    <n v="0"/>
    <n v="2"/>
    <n v="0"/>
    <n v="0"/>
    <n v="0"/>
  </r>
  <r>
    <x v="2"/>
    <s v="AAM-SC/SC"/>
    <x v="64"/>
    <s v="MALLAR"/>
    <x v="0"/>
    <x v="70"/>
    <n v="0"/>
    <n v="0"/>
    <n v="98"/>
    <n v="0"/>
    <n v="98"/>
    <n v="478"/>
    <n v="13"/>
    <n v="14"/>
    <n v="5"/>
    <n v="75"/>
    <n v="39"/>
    <n v="61"/>
    <n v="2"/>
    <n v="0"/>
    <x v="0"/>
    <n v="0"/>
    <n v="0"/>
    <n v="0"/>
    <n v="0"/>
    <n v="0"/>
    <n v="0"/>
    <n v="0"/>
    <n v="0"/>
    <n v="0"/>
    <n v="0"/>
    <n v="0"/>
    <n v="0"/>
    <n v="0"/>
    <n v="0"/>
    <n v="0"/>
    <n v="0"/>
    <n v="0"/>
    <n v="0"/>
    <n v="0"/>
    <n v="0"/>
    <n v="0"/>
    <n v="0"/>
    <n v="0"/>
    <n v="0"/>
    <n v="0"/>
    <n v="0"/>
    <n v="5"/>
    <n v="0"/>
    <n v="0"/>
    <n v="0"/>
  </r>
  <r>
    <x v="2"/>
    <s v="AAM-SC/SC"/>
    <x v="63"/>
    <s v="MATTAR"/>
    <x v="0"/>
    <x v="45"/>
    <n v="0"/>
    <n v="0"/>
    <n v="27"/>
    <n v="0"/>
    <n v="24"/>
    <n v="137"/>
    <n v="0"/>
    <n v="1"/>
    <n v="0"/>
    <n v="20"/>
    <n v="20"/>
    <n v="19"/>
    <n v="17"/>
    <n v="0"/>
    <x v="0"/>
    <n v="0"/>
    <n v="0"/>
    <n v="18"/>
    <n v="2"/>
    <n v="0"/>
    <n v="0"/>
    <n v="0"/>
    <n v="0"/>
    <n v="0"/>
    <n v="0"/>
    <n v="0"/>
    <n v="0"/>
    <n v="0"/>
    <n v="0"/>
    <n v="0"/>
    <n v="0"/>
    <n v="0"/>
    <n v="0"/>
    <n v="1"/>
    <n v="1"/>
    <n v="1"/>
    <n v="0"/>
    <n v="0"/>
    <n v="0"/>
    <n v="0"/>
    <n v="0"/>
    <n v="9"/>
    <n v="0"/>
    <n v="0"/>
    <n v="0"/>
  </r>
  <r>
    <x v="2"/>
    <s v="AAM-SC/SC"/>
    <x v="66"/>
    <s v="MATTU"/>
    <x v="0"/>
    <x v="10"/>
    <n v="0"/>
    <n v="0"/>
    <n v="24"/>
    <n v="0"/>
    <n v="24"/>
    <n v="109"/>
    <n v="7"/>
    <n v="6"/>
    <n v="1"/>
    <n v="20"/>
    <n v="20"/>
    <n v="17"/>
    <n v="5"/>
    <n v="0"/>
    <x v="0"/>
    <n v="0"/>
    <n v="0"/>
    <n v="0"/>
    <n v="0"/>
    <n v="0"/>
    <n v="0"/>
    <n v="0"/>
    <n v="0"/>
    <n v="0"/>
    <n v="0"/>
    <n v="0"/>
    <n v="0"/>
    <n v="0"/>
    <n v="0"/>
    <n v="0"/>
    <n v="0"/>
    <n v="0"/>
    <n v="0"/>
    <n v="0"/>
    <n v="0"/>
    <n v="0"/>
    <n v="0"/>
    <n v="0"/>
    <n v="0"/>
    <n v="0"/>
    <n v="0"/>
    <n v="14"/>
    <n v="0"/>
    <n v="0"/>
    <n v="0"/>
  </r>
  <r>
    <x v="2"/>
    <s v="AAM-SC/SC"/>
    <x v="66"/>
    <s v="MOODABETTU"/>
    <x v="0"/>
    <x v="57"/>
    <n v="0"/>
    <n v="0"/>
    <n v="50"/>
    <n v="0"/>
    <n v="50"/>
    <n v="215"/>
    <n v="0"/>
    <n v="0"/>
    <n v="0"/>
    <n v="57"/>
    <n v="57"/>
    <n v="30"/>
    <n v="2"/>
    <n v="0"/>
    <x v="0"/>
    <n v="0"/>
    <n v="0"/>
    <n v="0"/>
    <n v="0"/>
    <n v="0"/>
    <n v="0"/>
    <n v="0"/>
    <n v="0"/>
    <n v="0"/>
    <n v="0"/>
    <n v="0"/>
    <n v="0"/>
    <n v="0"/>
    <n v="0"/>
    <n v="0"/>
    <n v="0"/>
    <n v="0"/>
    <n v="0"/>
    <n v="0"/>
    <n v="0"/>
    <n v="0"/>
    <n v="0"/>
    <n v="0"/>
    <n v="0"/>
    <n v="0"/>
    <n v="0"/>
    <n v="9"/>
    <n v="0"/>
    <n v="0"/>
    <n v="0"/>
  </r>
  <r>
    <x v="2"/>
    <s v="AAM-SC/SC"/>
    <x v="67"/>
    <s v="MOODUBELLE"/>
    <x v="0"/>
    <x v="11"/>
    <n v="0"/>
    <n v="0"/>
    <n v="16"/>
    <n v="0"/>
    <n v="12"/>
    <n v="88"/>
    <n v="3"/>
    <n v="9"/>
    <n v="1"/>
    <n v="28"/>
    <n v="28"/>
    <n v="10"/>
    <n v="5"/>
    <n v="0"/>
    <x v="0"/>
    <n v="0"/>
    <n v="0"/>
    <n v="13"/>
    <n v="5"/>
    <n v="0"/>
    <n v="0"/>
    <n v="0"/>
    <n v="0"/>
    <n v="0"/>
    <n v="0"/>
    <n v="0"/>
    <n v="0"/>
    <n v="0"/>
    <n v="0"/>
    <n v="0"/>
    <n v="0"/>
    <n v="0"/>
    <n v="0"/>
    <n v="1"/>
    <n v="0"/>
    <n v="0"/>
    <n v="0"/>
    <n v="0"/>
    <n v="0"/>
    <n v="0"/>
    <n v="0"/>
    <n v="0"/>
    <n v="0"/>
    <n v="0"/>
    <n v="0"/>
  </r>
  <r>
    <x v="2"/>
    <s v="AAM-SC/SC"/>
    <x v="64"/>
    <s v="MOOLUR"/>
    <x v="0"/>
    <x v="28"/>
    <n v="0"/>
    <n v="0"/>
    <n v="42"/>
    <n v="0"/>
    <n v="42"/>
    <n v="187"/>
    <n v="7"/>
    <n v="1"/>
    <n v="0"/>
    <n v="32"/>
    <n v="28"/>
    <n v="36"/>
    <n v="21"/>
    <n v="0"/>
    <x v="0"/>
    <n v="0"/>
    <n v="0"/>
    <n v="0"/>
    <n v="0"/>
    <n v="0"/>
    <n v="0"/>
    <n v="0"/>
    <n v="0"/>
    <n v="0"/>
    <n v="0"/>
    <n v="0"/>
    <n v="0"/>
    <n v="0"/>
    <n v="0"/>
    <n v="0"/>
    <n v="0"/>
    <n v="0"/>
    <n v="0"/>
    <n v="0"/>
    <n v="0"/>
    <n v="0"/>
    <n v="0"/>
    <n v="0"/>
    <n v="0"/>
    <n v="0"/>
    <n v="0"/>
    <n v="1"/>
    <n v="0"/>
    <n v="0"/>
    <n v="0"/>
  </r>
  <r>
    <x v="2"/>
    <s v="AAM-SC/SC"/>
    <x v="65"/>
    <s v="NADSAL"/>
    <x v="0"/>
    <x v="71"/>
    <n v="0"/>
    <n v="0"/>
    <n v="91"/>
    <n v="0"/>
    <n v="86"/>
    <n v="209"/>
    <n v="10"/>
    <n v="16"/>
    <n v="1"/>
    <n v="60"/>
    <n v="56"/>
    <n v="83"/>
    <n v="0"/>
    <n v="0"/>
    <x v="0"/>
    <n v="0"/>
    <n v="0"/>
    <n v="0"/>
    <n v="0"/>
    <n v="0"/>
    <n v="0"/>
    <n v="0"/>
    <n v="0"/>
    <n v="0"/>
    <n v="0"/>
    <n v="0"/>
    <n v="0"/>
    <n v="0"/>
    <n v="0"/>
    <n v="0"/>
    <n v="0"/>
    <n v="0"/>
    <n v="0"/>
    <n v="0"/>
    <n v="0"/>
    <n v="0"/>
    <n v="0"/>
    <n v="0"/>
    <n v="0"/>
    <n v="0"/>
    <n v="0"/>
    <n v="0"/>
    <n v="0"/>
    <n v="0"/>
    <n v="0"/>
  </r>
  <r>
    <x v="2"/>
    <s v="AAM-SC/SC"/>
    <x v="68"/>
    <s v="NANDIKURU"/>
    <x v="0"/>
    <x v="16"/>
    <n v="0"/>
    <n v="0"/>
    <n v="22"/>
    <n v="0"/>
    <n v="22"/>
    <n v="155"/>
    <n v="1"/>
    <n v="5"/>
    <n v="0"/>
    <n v="30"/>
    <n v="30"/>
    <n v="21"/>
    <n v="25"/>
    <n v="0"/>
    <x v="0"/>
    <n v="0"/>
    <n v="0"/>
    <n v="0"/>
    <n v="0"/>
    <n v="0"/>
    <n v="0"/>
    <n v="0"/>
    <n v="0"/>
    <n v="0"/>
    <n v="0"/>
    <n v="0"/>
    <n v="0"/>
    <n v="0"/>
    <n v="0"/>
    <n v="0"/>
    <n v="0"/>
    <n v="0"/>
    <n v="0"/>
    <n v="0"/>
    <n v="0"/>
    <n v="0"/>
    <n v="0"/>
    <n v="0"/>
    <n v="0"/>
    <n v="0"/>
    <n v="0"/>
    <n v="0"/>
    <n v="0"/>
    <n v="0"/>
    <n v="0"/>
  </r>
  <r>
    <x v="2"/>
    <s v="AAM-SC/SC"/>
    <x v="65"/>
    <s v="PADEBETTU"/>
    <x v="0"/>
    <x v="3"/>
    <n v="0"/>
    <n v="0"/>
    <n v="28"/>
    <n v="0"/>
    <n v="28"/>
    <n v="102"/>
    <n v="4"/>
    <n v="7"/>
    <n v="0"/>
    <n v="27"/>
    <n v="4"/>
    <n v="28"/>
    <n v="3"/>
    <n v="0"/>
    <x v="0"/>
    <n v="0"/>
    <n v="0"/>
    <n v="0"/>
    <n v="0"/>
    <n v="0"/>
    <n v="0"/>
    <n v="0"/>
    <n v="0"/>
    <n v="0"/>
    <n v="0"/>
    <n v="0"/>
    <n v="0"/>
    <n v="0"/>
    <n v="0"/>
    <n v="0"/>
    <n v="0"/>
    <n v="0"/>
    <n v="0"/>
    <n v="0"/>
    <n v="0"/>
    <n v="0"/>
    <n v="0"/>
    <n v="0"/>
    <n v="0"/>
    <n v="0"/>
    <n v="0"/>
    <n v="0"/>
    <n v="0"/>
    <n v="0"/>
    <n v="0"/>
  </r>
  <r>
    <x v="2"/>
    <s v="AAM-SC/SC"/>
    <x v="64"/>
    <s v="PADU"/>
    <x v="0"/>
    <x v="45"/>
    <n v="0"/>
    <n v="0"/>
    <n v="27"/>
    <n v="0"/>
    <n v="27"/>
    <n v="132"/>
    <n v="0"/>
    <n v="0"/>
    <n v="0"/>
    <n v="26"/>
    <n v="28"/>
    <n v="23"/>
    <n v="19"/>
    <n v="0"/>
    <x v="0"/>
    <n v="0"/>
    <n v="0"/>
    <n v="0"/>
    <n v="0"/>
    <n v="0"/>
    <n v="0"/>
    <n v="0"/>
    <n v="0"/>
    <n v="0"/>
    <n v="0"/>
    <n v="0"/>
    <n v="0"/>
    <n v="0"/>
    <n v="0"/>
    <n v="0"/>
    <n v="0"/>
    <n v="0"/>
    <n v="0"/>
    <n v="0"/>
    <n v="0"/>
    <n v="0"/>
    <n v="0"/>
    <n v="0"/>
    <n v="0"/>
    <n v="0"/>
    <n v="0"/>
    <n v="0"/>
    <n v="0"/>
    <n v="0"/>
    <n v="0"/>
  </r>
  <r>
    <x v="2"/>
    <s v="AAM-SC/SC"/>
    <x v="63"/>
    <s v="PADUBELLE"/>
    <x v="0"/>
    <x v="13"/>
    <n v="0"/>
    <n v="0"/>
    <n v="10"/>
    <n v="0"/>
    <n v="10"/>
    <n v="71"/>
    <n v="0"/>
    <n v="0"/>
    <n v="0"/>
    <n v="18"/>
    <n v="21"/>
    <n v="4"/>
    <n v="0"/>
    <n v="0"/>
    <x v="0"/>
    <n v="0"/>
    <n v="0"/>
    <n v="0"/>
    <n v="0"/>
    <n v="0"/>
    <n v="0"/>
    <n v="0"/>
    <n v="0"/>
    <n v="0"/>
    <n v="0"/>
    <n v="0"/>
    <n v="0"/>
    <n v="0"/>
    <n v="0"/>
    <n v="0"/>
    <n v="0"/>
    <n v="0"/>
    <n v="0"/>
    <n v="0"/>
    <n v="0"/>
    <n v="0"/>
    <n v="0"/>
    <n v="0"/>
    <n v="0"/>
    <n v="0"/>
    <n v="0"/>
    <n v="0"/>
    <n v="0"/>
    <n v="0"/>
    <n v="0"/>
  </r>
  <r>
    <x v="2"/>
    <s v="AAM-SC/SC"/>
    <x v="65"/>
    <s v="PADUBIDRI-A"/>
    <x v="0"/>
    <x v="69"/>
    <n v="0"/>
    <n v="0"/>
    <n v="54"/>
    <n v="0"/>
    <n v="52"/>
    <n v="262"/>
    <n v="0"/>
    <n v="0"/>
    <n v="0"/>
    <n v="63"/>
    <n v="52"/>
    <n v="53"/>
    <n v="12"/>
    <n v="0"/>
    <x v="0"/>
    <n v="0"/>
    <n v="0"/>
    <n v="0"/>
    <n v="0"/>
    <n v="0"/>
    <n v="0"/>
    <n v="0"/>
    <n v="0"/>
    <n v="0"/>
    <n v="0"/>
    <n v="0"/>
    <n v="0"/>
    <n v="0"/>
    <n v="0"/>
    <n v="0"/>
    <n v="0"/>
    <n v="0"/>
    <n v="0"/>
    <n v="0"/>
    <n v="0"/>
    <n v="0"/>
    <n v="0"/>
    <n v="0"/>
    <n v="0"/>
    <n v="0"/>
    <n v="0"/>
    <n v="0"/>
    <n v="0"/>
    <n v="0"/>
    <n v="0"/>
  </r>
  <r>
    <x v="2"/>
    <s v="AAM-SC/SC"/>
    <x v="65"/>
    <s v="PADUBIDRI-B"/>
    <x v="0"/>
    <x v="16"/>
    <n v="0"/>
    <n v="0"/>
    <n v="22"/>
    <n v="0"/>
    <n v="18"/>
    <n v="105"/>
    <n v="0"/>
    <n v="0"/>
    <n v="0"/>
    <n v="16"/>
    <n v="16"/>
    <n v="20"/>
    <n v="0"/>
    <n v="0"/>
    <x v="0"/>
    <n v="0"/>
    <n v="0"/>
    <n v="0"/>
    <n v="0"/>
    <n v="0"/>
    <n v="0"/>
    <n v="0"/>
    <n v="0"/>
    <n v="0"/>
    <n v="0"/>
    <n v="0"/>
    <n v="0"/>
    <n v="0"/>
    <n v="0"/>
    <n v="0"/>
    <n v="0"/>
    <n v="0"/>
    <n v="0"/>
    <n v="0"/>
    <n v="0"/>
    <n v="0"/>
    <n v="0"/>
    <n v="0"/>
    <n v="0"/>
    <n v="0"/>
    <n v="0"/>
    <n v="0"/>
    <n v="0"/>
    <n v="0"/>
    <n v="0"/>
  </r>
  <r>
    <x v="2"/>
    <s v="AAM-SC/SC"/>
    <x v="64"/>
    <s v="PADUR"/>
    <x v="0"/>
    <x v="9"/>
    <n v="0"/>
    <n v="0"/>
    <n v="11"/>
    <n v="0"/>
    <n v="11"/>
    <n v="51"/>
    <n v="2"/>
    <n v="0"/>
    <n v="0"/>
    <n v="9"/>
    <n v="9"/>
    <n v="4"/>
    <n v="0"/>
    <n v="0"/>
    <x v="0"/>
    <n v="0"/>
    <n v="0"/>
    <n v="0"/>
    <n v="0"/>
    <n v="0"/>
    <n v="0"/>
    <n v="0"/>
    <n v="0"/>
    <n v="0"/>
    <n v="0"/>
    <n v="0"/>
    <n v="0"/>
    <n v="0"/>
    <n v="0"/>
    <n v="0"/>
    <n v="0"/>
    <n v="0"/>
    <n v="0"/>
    <n v="0"/>
    <n v="0"/>
    <n v="0"/>
    <n v="0"/>
    <n v="0"/>
    <n v="0"/>
    <n v="0"/>
    <n v="0"/>
    <n v="4"/>
    <n v="0"/>
    <n v="0"/>
    <n v="0"/>
  </r>
  <r>
    <x v="2"/>
    <s v="AAM-SC/SC"/>
    <x v="68"/>
    <s v="PALIMAR"/>
    <x v="0"/>
    <x v="0"/>
    <n v="0"/>
    <n v="0"/>
    <n v="21"/>
    <n v="0"/>
    <n v="13"/>
    <n v="131"/>
    <n v="2"/>
    <n v="3"/>
    <n v="0"/>
    <n v="19"/>
    <n v="21"/>
    <n v="10"/>
    <n v="25"/>
    <n v="0"/>
    <x v="0"/>
    <n v="0"/>
    <n v="0"/>
    <n v="0"/>
    <n v="0"/>
    <n v="0"/>
    <n v="0"/>
    <n v="0"/>
    <n v="0"/>
    <n v="0"/>
    <n v="0"/>
    <n v="0"/>
    <n v="0"/>
    <n v="0"/>
    <n v="0"/>
    <n v="0"/>
    <n v="0"/>
    <n v="0"/>
    <n v="0"/>
    <n v="0"/>
    <n v="0"/>
    <n v="0"/>
    <n v="0"/>
    <n v="0"/>
    <n v="0"/>
    <n v="0"/>
    <n v="0"/>
    <n v="0"/>
    <n v="0"/>
    <n v="0"/>
    <n v="0"/>
  </r>
  <r>
    <x v="2"/>
    <s v="AAM-SC/SC"/>
    <x v="64"/>
    <s v="PANGALA"/>
    <x v="0"/>
    <x v="20"/>
    <n v="0"/>
    <n v="0"/>
    <n v="18"/>
    <n v="0"/>
    <n v="14"/>
    <n v="125"/>
    <n v="3"/>
    <n v="3"/>
    <n v="0"/>
    <n v="12"/>
    <n v="12"/>
    <n v="9"/>
    <n v="10"/>
    <n v="0"/>
    <x v="0"/>
    <n v="0"/>
    <n v="0"/>
    <n v="0"/>
    <n v="0"/>
    <n v="0"/>
    <n v="0"/>
    <n v="0"/>
    <n v="0"/>
    <n v="0"/>
    <n v="0"/>
    <n v="0"/>
    <n v="0"/>
    <n v="0"/>
    <n v="0"/>
    <n v="0"/>
    <n v="0"/>
    <n v="0"/>
    <n v="0"/>
    <n v="0"/>
    <n v="0"/>
    <n v="0"/>
    <n v="0"/>
    <n v="0"/>
    <n v="0"/>
    <n v="0"/>
    <n v="0"/>
    <n v="0"/>
    <n v="0"/>
    <n v="0"/>
    <n v="0"/>
  </r>
  <r>
    <x v="2"/>
    <s v="AAM-SC/SC"/>
    <x v="68"/>
    <s v="PILAR"/>
    <x v="0"/>
    <x v="10"/>
    <n v="0"/>
    <n v="0"/>
    <n v="26"/>
    <n v="0"/>
    <n v="23"/>
    <n v="117"/>
    <n v="9"/>
    <n v="1"/>
    <n v="1"/>
    <n v="22"/>
    <n v="25"/>
    <n v="10"/>
    <n v="28"/>
    <n v="0"/>
    <x v="0"/>
    <n v="0"/>
    <n v="0"/>
    <n v="0"/>
    <n v="0"/>
    <n v="0"/>
    <n v="0"/>
    <n v="0"/>
    <n v="0"/>
    <n v="0"/>
    <n v="0"/>
    <n v="0"/>
    <n v="0"/>
    <n v="0"/>
    <n v="0"/>
    <n v="0"/>
    <n v="0"/>
    <n v="0"/>
    <n v="0"/>
    <n v="0"/>
    <n v="0"/>
    <n v="0"/>
    <n v="0"/>
    <n v="0"/>
    <n v="0"/>
    <n v="0"/>
    <n v="0"/>
    <n v="0"/>
    <n v="0"/>
    <n v="0"/>
    <n v="0"/>
  </r>
  <r>
    <x v="2"/>
    <s v="AAM-SC/SC"/>
    <x v="68"/>
    <s v="SANTHOOR"/>
    <x v="0"/>
    <x v="8"/>
    <n v="0"/>
    <n v="0"/>
    <n v="13"/>
    <n v="0"/>
    <n v="13"/>
    <n v="60"/>
    <n v="0"/>
    <n v="0"/>
    <n v="0"/>
    <n v="16"/>
    <n v="16"/>
    <n v="6"/>
    <n v="14"/>
    <n v="0"/>
    <x v="0"/>
    <n v="0"/>
    <n v="0"/>
    <n v="0"/>
    <n v="0"/>
    <n v="0"/>
    <n v="0"/>
    <n v="0"/>
    <n v="0"/>
    <n v="0"/>
    <n v="0"/>
    <n v="0"/>
    <n v="0"/>
    <n v="0"/>
    <n v="0"/>
    <n v="0"/>
    <n v="0"/>
    <n v="0"/>
    <n v="0"/>
    <n v="0"/>
    <n v="0"/>
    <n v="0"/>
    <n v="0"/>
    <n v="0"/>
    <n v="0"/>
    <n v="0"/>
    <n v="0"/>
    <n v="0"/>
    <n v="0"/>
    <n v="0"/>
    <n v="0"/>
  </r>
  <r>
    <x v="2"/>
    <s v="AAM-SC/SC"/>
    <x v="63"/>
    <s v="SHIRVA-A"/>
    <x v="0"/>
    <x v="30"/>
    <n v="0"/>
    <n v="0"/>
    <n v="34"/>
    <n v="0"/>
    <n v="21"/>
    <n v="242"/>
    <n v="0"/>
    <n v="0"/>
    <n v="0"/>
    <n v="30"/>
    <n v="30"/>
    <n v="27"/>
    <n v="7"/>
    <n v="0"/>
    <x v="0"/>
    <n v="0"/>
    <n v="0"/>
    <n v="0"/>
    <n v="0"/>
    <n v="0"/>
    <n v="0"/>
    <n v="0"/>
    <n v="0"/>
    <n v="0"/>
    <n v="0"/>
    <n v="0"/>
    <n v="0"/>
    <n v="0"/>
    <n v="0"/>
    <n v="0"/>
    <n v="0"/>
    <n v="0"/>
    <n v="0"/>
    <n v="0"/>
    <n v="0"/>
    <n v="0"/>
    <n v="0"/>
    <n v="0"/>
    <n v="0"/>
    <n v="0"/>
    <n v="0"/>
    <n v="0"/>
    <n v="0"/>
    <n v="0"/>
    <n v="0"/>
  </r>
  <r>
    <x v="2"/>
    <s v="AAM-SC/SC"/>
    <x v="63"/>
    <s v="SHIRVA-B"/>
    <x v="0"/>
    <x v="57"/>
    <n v="0"/>
    <n v="0"/>
    <n v="50"/>
    <n v="0"/>
    <n v="50"/>
    <n v="240"/>
    <n v="0"/>
    <n v="0"/>
    <n v="0"/>
    <n v="44"/>
    <n v="49"/>
    <n v="53"/>
    <n v="54"/>
    <n v="0"/>
    <x v="0"/>
    <n v="0"/>
    <n v="0"/>
    <n v="0"/>
    <n v="0"/>
    <n v="0"/>
    <n v="0"/>
    <n v="0"/>
    <n v="0"/>
    <n v="0"/>
    <n v="0"/>
    <n v="0"/>
    <n v="0"/>
    <n v="0"/>
    <n v="0"/>
    <n v="0"/>
    <n v="0"/>
    <n v="0"/>
    <n v="0"/>
    <n v="0"/>
    <n v="0"/>
    <n v="0"/>
    <n v="0"/>
    <n v="0"/>
    <n v="0"/>
    <n v="0"/>
    <n v="0"/>
    <n v="3"/>
    <n v="0"/>
    <n v="0"/>
    <n v="0"/>
  </r>
  <r>
    <x v="2"/>
    <s v="AAM-SC/SC"/>
    <x v="63"/>
    <s v="SHIRVA-C"/>
    <x v="0"/>
    <x v="60"/>
    <n v="0"/>
    <n v="0"/>
    <n v="8"/>
    <n v="0"/>
    <n v="6"/>
    <n v="20"/>
    <n v="0"/>
    <n v="0"/>
    <n v="0"/>
    <n v="5"/>
    <n v="5"/>
    <n v="13"/>
    <n v="6"/>
    <n v="3"/>
    <x v="0"/>
    <n v="0"/>
    <n v="0"/>
    <n v="0"/>
    <n v="0"/>
    <n v="0"/>
    <n v="0"/>
    <n v="0"/>
    <n v="0"/>
    <n v="0"/>
    <n v="0"/>
    <n v="0"/>
    <n v="0"/>
    <n v="0"/>
    <n v="0"/>
    <n v="0"/>
    <n v="0"/>
    <n v="0"/>
    <n v="0"/>
    <n v="0"/>
    <n v="0"/>
    <n v="0"/>
    <n v="0"/>
    <n v="0"/>
    <n v="0"/>
    <n v="0"/>
    <n v="0"/>
    <n v="0"/>
    <n v="0"/>
    <n v="0"/>
    <n v="0"/>
  </r>
  <r>
    <x v="2"/>
    <s v="AAM-SC/SC"/>
    <x v="65"/>
    <s v="TENKA"/>
    <x v="0"/>
    <x v="27"/>
    <n v="0"/>
    <n v="0"/>
    <n v="38"/>
    <n v="0"/>
    <n v="36"/>
    <n v="241"/>
    <n v="10"/>
    <n v="6"/>
    <n v="0"/>
    <n v="33"/>
    <n v="33"/>
    <n v="27"/>
    <n v="5"/>
    <n v="0"/>
    <x v="0"/>
    <n v="0"/>
    <n v="0"/>
    <n v="0"/>
    <n v="0"/>
    <n v="0"/>
    <n v="0"/>
    <n v="0"/>
    <n v="0"/>
    <n v="0"/>
    <n v="0"/>
    <n v="0"/>
    <n v="0"/>
    <n v="0"/>
    <n v="0"/>
    <n v="0"/>
    <n v="0"/>
    <n v="0"/>
    <n v="0"/>
    <n v="0"/>
    <n v="0"/>
    <n v="0"/>
    <n v="0"/>
    <n v="0"/>
    <n v="0"/>
    <n v="0"/>
    <n v="0"/>
    <n v="0"/>
    <n v="0"/>
    <n v="0"/>
    <n v="0"/>
  </r>
  <r>
    <x v="2"/>
    <s v="AAM-SC/SC"/>
    <x v="65"/>
    <s v="UCHILA"/>
    <x v="0"/>
    <x v="50"/>
    <n v="0"/>
    <n v="0"/>
    <n v="52"/>
    <n v="0"/>
    <n v="52"/>
    <n v="181"/>
    <n v="8"/>
    <n v="7"/>
    <n v="1"/>
    <n v="36"/>
    <n v="36"/>
    <n v="41"/>
    <n v="0"/>
    <n v="0"/>
    <x v="0"/>
    <n v="0"/>
    <n v="0"/>
    <n v="0"/>
    <n v="0"/>
    <n v="0"/>
    <n v="0"/>
    <n v="0"/>
    <n v="0"/>
    <n v="0"/>
    <n v="0"/>
    <n v="0"/>
    <n v="0"/>
    <n v="0"/>
    <n v="0"/>
    <n v="0"/>
    <n v="0"/>
    <n v="0"/>
    <n v="0"/>
    <n v="0"/>
    <n v="0"/>
    <n v="0"/>
    <n v="0"/>
    <n v="0"/>
    <n v="0"/>
    <n v="0"/>
    <n v="0"/>
    <n v="0"/>
    <n v="0"/>
    <n v="0"/>
    <n v="0"/>
  </r>
  <r>
    <x v="2"/>
    <s v="AAM-SC/SC"/>
    <x v="64"/>
    <s v="ULIYARGOLI"/>
    <x v="0"/>
    <x v="33"/>
    <n v="0"/>
    <n v="0"/>
    <n v="53"/>
    <n v="0"/>
    <n v="49"/>
    <n v="302"/>
    <n v="0"/>
    <n v="0"/>
    <n v="0"/>
    <n v="44"/>
    <n v="44"/>
    <n v="41"/>
    <n v="44"/>
    <n v="0"/>
    <x v="0"/>
    <n v="0"/>
    <n v="0"/>
    <n v="9"/>
    <n v="0"/>
    <n v="0"/>
    <n v="0"/>
    <n v="1"/>
    <n v="0"/>
    <n v="0"/>
    <n v="0"/>
    <n v="0"/>
    <n v="0"/>
    <n v="0"/>
    <n v="0"/>
    <n v="0"/>
    <n v="0"/>
    <n v="0"/>
    <n v="0"/>
    <n v="0"/>
    <n v="0"/>
    <n v="0"/>
    <n v="0"/>
    <n v="0"/>
    <n v="0"/>
    <n v="0"/>
    <n v="0"/>
    <n v="11"/>
    <n v="4"/>
    <n v="0"/>
    <n v="0"/>
  </r>
  <r>
    <x v="2"/>
    <s v="AAM-SC/SC"/>
    <x v="68"/>
    <s v="YELLUR A"/>
    <x v="0"/>
    <x v="42"/>
    <n v="0"/>
    <n v="0"/>
    <n v="32"/>
    <n v="0"/>
    <n v="21"/>
    <n v="136"/>
    <n v="0"/>
    <n v="0"/>
    <n v="0"/>
    <n v="31"/>
    <n v="31"/>
    <n v="20"/>
    <n v="32"/>
    <n v="0"/>
    <x v="0"/>
    <n v="0"/>
    <n v="0"/>
    <n v="0"/>
    <n v="0"/>
    <n v="0"/>
    <n v="0"/>
    <n v="0"/>
    <n v="0"/>
    <n v="0"/>
    <n v="0"/>
    <n v="0"/>
    <n v="0"/>
    <n v="0"/>
    <n v="0"/>
    <n v="0"/>
    <n v="0"/>
    <n v="0"/>
    <n v="0"/>
    <n v="0"/>
    <n v="0"/>
    <n v="0"/>
    <n v="0"/>
    <n v="0"/>
    <n v="0"/>
    <n v="0"/>
    <n v="0"/>
    <n v="0"/>
    <n v="0"/>
    <n v="0"/>
    <n v="0"/>
  </r>
  <r>
    <x v="2"/>
    <s v="AAM-SC/SC"/>
    <x v="68"/>
    <s v="YELLUR B"/>
    <x v="0"/>
    <x v="22"/>
    <n v="0"/>
    <n v="0"/>
    <n v="15"/>
    <n v="0"/>
    <n v="12"/>
    <n v="81"/>
    <n v="3"/>
    <n v="1"/>
    <n v="0"/>
    <n v="18"/>
    <n v="18"/>
    <n v="12"/>
    <n v="16"/>
    <n v="0"/>
    <x v="0"/>
    <n v="0"/>
    <n v="0"/>
    <n v="0"/>
    <n v="0"/>
    <n v="0"/>
    <n v="0"/>
    <n v="0"/>
    <n v="0"/>
    <n v="0"/>
    <n v="0"/>
    <n v="0"/>
    <n v="0"/>
    <n v="0"/>
    <n v="0"/>
    <n v="0"/>
    <n v="0"/>
    <n v="0"/>
    <n v="0"/>
    <n v="0"/>
    <n v="0"/>
    <n v="0"/>
    <n v="0"/>
    <n v="0"/>
    <n v="0"/>
    <n v="0"/>
    <n v="0"/>
    <n v="0"/>
    <n v="0"/>
    <n v="0"/>
    <n v="0"/>
  </r>
  <r>
    <x v="2"/>
    <s v="AAM-SC/SC"/>
    <x v="66"/>
    <s v="YENAGUDDE"/>
    <x v="0"/>
    <x v="69"/>
    <n v="0"/>
    <n v="0"/>
    <n v="54"/>
    <n v="0"/>
    <n v="54"/>
    <n v="333"/>
    <n v="48"/>
    <n v="34"/>
    <n v="0"/>
    <n v="45"/>
    <n v="45"/>
    <n v="47"/>
    <n v="4"/>
    <n v="0"/>
    <x v="0"/>
    <n v="0"/>
    <n v="0"/>
    <n v="5"/>
    <n v="2"/>
    <n v="0"/>
    <n v="0"/>
    <n v="0"/>
    <n v="0"/>
    <n v="0"/>
    <n v="0"/>
    <n v="0"/>
    <n v="0"/>
    <n v="0"/>
    <n v="0"/>
    <n v="0"/>
    <n v="0"/>
    <n v="0"/>
    <n v="0"/>
    <n v="0"/>
    <n v="0"/>
    <n v="0"/>
    <n v="0"/>
    <n v="0"/>
    <n v="0"/>
    <n v="0"/>
    <n v="0"/>
    <n v="4"/>
    <n v="0"/>
    <n v="0"/>
    <n v="0"/>
  </r>
  <r>
    <x v="2"/>
    <s v="AAM-PHC/PHC"/>
    <x v="64"/>
    <s v="KAUP"/>
    <x v="0"/>
    <x v="12"/>
    <n v="0"/>
    <n v="0"/>
    <n v="0"/>
    <n v="0"/>
    <n v="0"/>
    <n v="1156"/>
    <n v="69"/>
    <n v="70"/>
    <n v="22"/>
    <n v="221"/>
    <n v="84"/>
    <n v="193"/>
    <n v="186"/>
    <n v="0"/>
    <x v="1"/>
    <n v="0"/>
    <n v="0"/>
    <n v="235"/>
    <n v="108"/>
    <n v="0"/>
    <n v="0"/>
    <n v="3"/>
    <n v="1"/>
    <n v="1"/>
    <n v="0"/>
    <n v="172"/>
    <n v="0"/>
    <n v="0"/>
    <n v="0"/>
    <n v="0"/>
    <n v="0"/>
    <n v="0"/>
    <n v="0"/>
    <n v="2"/>
    <n v="0"/>
    <n v="0"/>
    <n v="0"/>
    <n v="0"/>
    <n v="0"/>
    <n v="0"/>
    <n v="0"/>
    <n v="11"/>
    <n v="2"/>
    <n v="0"/>
    <n v="0"/>
  </r>
  <r>
    <x v="2"/>
    <s v="AAM-PHC/PHC"/>
    <x v="66"/>
    <s v="MOODUBETTU"/>
    <x v="0"/>
    <x v="12"/>
    <n v="0"/>
    <n v="0"/>
    <n v="0"/>
    <n v="0"/>
    <n v="0"/>
    <n v="856"/>
    <n v="29"/>
    <n v="21"/>
    <n v="2"/>
    <n v="94"/>
    <n v="102"/>
    <n v="93"/>
    <n v="108"/>
    <n v="0"/>
    <x v="0"/>
    <n v="0"/>
    <n v="0"/>
    <n v="157"/>
    <n v="47"/>
    <n v="0"/>
    <n v="0"/>
    <n v="1"/>
    <n v="0"/>
    <n v="0"/>
    <n v="0"/>
    <n v="100"/>
    <n v="0"/>
    <n v="0"/>
    <n v="0"/>
    <n v="0"/>
    <n v="0"/>
    <n v="0"/>
    <n v="0"/>
    <n v="0"/>
    <n v="0"/>
    <n v="0"/>
    <n v="0"/>
    <n v="0"/>
    <n v="0"/>
    <n v="0"/>
    <n v="0"/>
    <n v="29"/>
    <n v="0"/>
    <n v="0"/>
    <n v="0"/>
  </r>
  <r>
    <x v="2"/>
    <s v="AAM-PHC/PHC"/>
    <x v="68"/>
    <s v="MUDARANGADI"/>
    <x v="0"/>
    <x v="12"/>
    <n v="0"/>
    <n v="0"/>
    <n v="0"/>
    <n v="0"/>
    <n v="0"/>
    <n v="130"/>
    <n v="29"/>
    <n v="31"/>
    <n v="3"/>
    <n v="0"/>
    <n v="0"/>
    <n v="0"/>
    <n v="0"/>
    <n v="0"/>
    <x v="0"/>
    <n v="0"/>
    <n v="0"/>
    <n v="74"/>
    <n v="24"/>
    <n v="0"/>
    <n v="0"/>
    <n v="0"/>
    <n v="0"/>
    <n v="0"/>
    <n v="0"/>
    <n v="73"/>
    <n v="0"/>
    <n v="0"/>
    <n v="0"/>
    <n v="0"/>
    <n v="0"/>
    <n v="0"/>
    <n v="0"/>
    <n v="0"/>
    <n v="0"/>
    <n v="0"/>
    <n v="0"/>
    <n v="0"/>
    <n v="0"/>
    <n v="0"/>
    <n v="0"/>
    <n v="0"/>
    <n v="0"/>
    <n v="0"/>
    <n v="0"/>
  </r>
  <r>
    <x v="2"/>
    <s v="AAM-PHC/PHC"/>
    <x v="65"/>
    <s v="PADUBIDRI"/>
    <x v="0"/>
    <x v="12"/>
    <n v="0"/>
    <n v="0"/>
    <n v="0"/>
    <n v="0"/>
    <n v="0"/>
    <n v="476"/>
    <n v="66"/>
    <n v="40"/>
    <n v="16"/>
    <n v="126"/>
    <n v="126"/>
    <n v="59"/>
    <n v="371"/>
    <n v="0"/>
    <x v="0"/>
    <n v="0"/>
    <n v="0"/>
    <n v="116"/>
    <n v="50"/>
    <n v="0"/>
    <n v="0"/>
    <n v="0"/>
    <n v="0"/>
    <n v="0"/>
    <n v="0"/>
    <n v="41"/>
    <n v="0"/>
    <n v="0"/>
    <n v="0"/>
    <n v="0"/>
    <n v="0"/>
    <n v="0"/>
    <n v="0"/>
    <n v="0"/>
    <n v="0"/>
    <n v="0"/>
    <n v="0"/>
    <n v="0"/>
    <n v="0"/>
    <n v="0"/>
    <n v="0"/>
    <n v="0"/>
    <n v="0"/>
    <n v="0"/>
    <n v="0"/>
  </r>
  <r>
    <x v="2"/>
    <s v="Community Health Centre"/>
    <x v="63"/>
    <s v="SHIRUVA"/>
    <x v="0"/>
    <x v="12"/>
    <n v="0"/>
    <n v="0"/>
    <n v="0"/>
    <n v="0"/>
    <n v="0"/>
    <n v="156"/>
    <n v="51"/>
    <n v="51"/>
    <n v="15"/>
    <n v="59"/>
    <n v="59"/>
    <n v="59"/>
    <n v="64"/>
    <n v="0"/>
    <x v="0"/>
    <n v="0"/>
    <n v="0"/>
    <n v="204"/>
    <n v="58"/>
    <n v="0"/>
    <n v="0"/>
    <n v="1"/>
    <n v="0"/>
    <n v="0"/>
    <n v="0"/>
    <n v="168"/>
    <n v="0"/>
    <n v="0"/>
    <n v="0"/>
    <n v="0"/>
    <n v="0"/>
    <n v="0"/>
    <n v="0"/>
    <n v="1"/>
    <n v="0"/>
    <n v="0"/>
    <n v="0"/>
    <n v="0"/>
    <n v="0"/>
    <n v="0"/>
    <n v="0"/>
    <n v="0"/>
    <n v="0"/>
    <n v="0"/>
    <n v="0"/>
  </r>
  <r>
    <x v="2"/>
    <s v="AAM-SC/SC"/>
    <x v="69"/>
    <s v="80 BADAGUBETTU"/>
    <x v="0"/>
    <x v="72"/>
    <n v="0"/>
    <n v="0"/>
    <n v="108"/>
    <n v="0"/>
    <n v="103"/>
    <n v="635"/>
    <n v="15"/>
    <n v="13"/>
    <n v="3"/>
    <n v="92"/>
    <n v="92"/>
    <n v="82"/>
    <n v="0"/>
    <n v="0"/>
    <x v="2"/>
    <n v="0"/>
    <n v="0"/>
    <n v="0"/>
    <n v="0"/>
    <n v="0"/>
    <n v="0"/>
    <n v="0"/>
    <n v="0"/>
    <n v="0"/>
    <n v="0"/>
    <n v="0"/>
    <n v="0"/>
    <n v="0"/>
    <n v="0"/>
    <n v="0"/>
    <n v="0"/>
    <n v="0"/>
    <n v="0"/>
    <n v="0"/>
    <n v="0"/>
    <n v="9"/>
    <n v="0"/>
    <n v="0"/>
    <n v="0"/>
    <n v="0"/>
    <n v="0"/>
    <n v="0"/>
    <n v="0"/>
    <n v="0"/>
    <n v="0"/>
  </r>
  <r>
    <x v="2"/>
    <s v="AAM-SC/SC"/>
    <x v="70"/>
    <s v="ALEVOOR"/>
    <x v="0"/>
    <x v="14"/>
    <n v="0"/>
    <n v="0"/>
    <n v="45"/>
    <n v="0"/>
    <n v="45"/>
    <n v="258"/>
    <n v="9"/>
    <n v="5"/>
    <n v="1"/>
    <n v="41"/>
    <n v="39"/>
    <n v="33"/>
    <n v="0"/>
    <n v="0"/>
    <x v="0"/>
    <n v="0"/>
    <n v="0"/>
    <n v="0"/>
    <n v="0"/>
    <n v="0"/>
    <n v="0"/>
    <n v="0"/>
    <n v="0"/>
    <n v="0"/>
    <n v="0"/>
    <n v="0"/>
    <n v="0"/>
    <n v="0"/>
    <n v="0"/>
    <n v="0"/>
    <n v="0"/>
    <n v="0"/>
    <n v="0"/>
    <n v="0"/>
    <n v="0"/>
    <n v="0"/>
    <n v="0"/>
    <n v="0"/>
    <n v="0"/>
    <n v="0"/>
    <n v="0"/>
    <n v="0"/>
    <n v="0"/>
    <n v="0"/>
    <n v="0"/>
  </r>
  <r>
    <x v="2"/>
    <s v="AAM-SC/SC"/>
    <x v="67"/>
    <s v="ANJAR"/>
    <x v="0"/>
    <x v="42"/>
    <n v="0"/>
    <n v="0"/>
    <n v="32"/>
    <n v="0"/>
    <n v="32"/>
    <n v="78"/>
    <n v="2"/>
    <n v="3"/>
    <n v="0"/>
    <n v="24"/>
    <n v="24"/>
    <n v="31"/>
    <n v="0"/>
    <n v="0"/>
    <x v="0"/>
    <n v="0"/>
    <n v="0"/>
    <n v="10"/>
    <n v="0"/>
    <n v="0"/>
    <n v="0"/>
    <n v="0"/>
    <n v="0"/>
    <n v="0"/>
    <n v="0"/>
    <n v="0"/>
    <n v="0"/>
    <n v="0"/>
    <n v="0"/>
    <n v="0"/>
    <n v="0"/>
    <n v="0"/>
    <n v="0"/>
    <n v="70"/>
    <n v="0"/>
    <n v="0"/>
    <n v="0"/>
    <n v="0"/>
    <n v="0"/>
    <n v="0"/>
    <n v="0"/>
    <n v="1"/>
    <n v="0"/>
    <n v="0"/>
    <n v="0"/>
  </r>
  <r>
    <x v="2"/>
    <s v="AAM-SC/SC"/>
    <x v="69"/>
    <s v="ATHRADI"/>
    <x v="0"/>
    <x v="45"/>
    <n v="0"/>
    <n v="0"/>
    <n v="27"/>
    <n v="0"/>
    <n v="26"/>
    <n v="135"/>
    <n v="2"/>
    <n v="5"/>
    <n v="0"/>
    <n v="31"/>
    <n v="17"/>
    <n v="24"/>
    <n v="0"/>
    <n v="0"/>
    <x v="0"/>
    <n v="0"/>
    <n v="0"/>
    <n v="0"/>
    <n v="0"/>
    <n v="0"/>
    <n v="0"/>
    <n v="0"/>
    <n v="0"/>
    <n v="0"/>
    <n v="0"/>
    <n v="0"/>
    <n v="0"/>
    <n v="0"/>
    <n v="0"/>
    <n v="0"/>
    <n v="0"/>
    <n v="0"/>
    <n v="0"/>
    <n v="0"/>
    <n v="0"/>
    <n v="0"/>
    <n v="0"/>
    <n v="0"/>
    <n v="0"/>
    <n v="0"/>
    <n v="0"/>
    <n v="0"/>
    <n v="0"/>
    <n v="0"/>
    <n v="0"/>
  </r>
  <r>
    <x v="2"/>
    <s v="AAM-SC/SC"/>
    <x v="71"/>
    <s v="BADANIDIYOOR A"/>
    <x v="0"/>
    <x v="16"/>
    <n v="0"/>
    <n v="0"/>
    <n v="22"/>
    <n v="0"/>
    <n v="22"/>
    <n v="131"/>
    <n v="2"/>
    <n v="3"/>
    <n v="0"/>
    <n v="27"/>
    <n v="27"/>
    <n v="22"/>
    <n v="1"/>
    <n v="0"/>
    <x v="0"/>
    <n v="0"/>
    <n v="0"/>
    <n v="0"/>
    <n v="0"/>
    <n v="0"/>
    <n v="0"/>
    <n v="0"/>
    <n v="0"/>
    <n v="0"/>
    <n v="0"/>
    <n v="0"/>
    <n v="0"/>
    <n v="0"/>
    <n v="0"/>
    <n v="0"/>
    <n v="0"/>
    <n v="0"/>
    <n v="0"/>
    <n v="4"/>
    <n v="0"/>
    <n v="0"/>
    <n v="0"/>
    <n v="0"/>
    <n v="0"/>
    <n v="0"/>
    <n v="0"/>
    <n v="13"/>
    <n v="0"/>
    <n v="0"/>
    <n v="0"/>
  </r>
  <r>
    <x v="2"/>
    <s v="AAM-SC/SC"/>
    <x v="71"/>
    <s v="BADANIDIYOOR B"/>
    <x v="0"/>
    <x v="45"/>
    <n v="0"/>
    <n v="0"/>
    <n v="27"/>
    <n v="0"/>
    <n v="27"/>
    <n v="125"/>
    <n v="5"/>
    <n v="2"/>
    <n v="0"/>
    <n v="18"/>
    <n v="18"/>
    <n v="3"/>
    <n v="0"/>
    <n v="0"/>
    <x v="0"/>
    <n v="0"/>
    <n v="0"/>
    <n v="0"/>
    <n v="0"/>
    <n v="0"/>
    <n v="0"/>
    <n v="0"/>
    <n v="0"/>
    <n v="0"/>
    <n v="0"/>
    <n v="0"/>
    <n v="0"/>
    <n v="0"/>
    <n v="0"/>
    <n v="0"/>
    <n v="0"/>
    <n v="0"/>
    <n v="0"/>
    <n v="0"/>
    <n v="0"/>
    <n v="0"/>
    <n v="0"/>
    <n v="0"/>
    <n v="0"/>
    <n v="0"/>
    <n v="0"/>
    <n v="5"/>
    <n v="0"/>
    <n v="0"/>
    <n v="0"/>
  </r>
  <r>
    <x v="2"/>
    <s v="AAM-SC/SC"/>
    <x v="62"/>
    <s v="BELLAMPALLI"/>
    <x v="0"/>
    <x v="6"/>
    <n v="0"/>
    <n v="0"/>
    <n v="20"/>
    <n v="0"/>
    <n v="17"/>
    <n v="77"/>
    <n v="3"/>
    <n v="1"/>
    <n v="0"/>
    <n v="23"/>
    <n v="14"/>
    <n v="15"/>
    <n v="5"/>
    <n v="0"/>
    <x v="0"/>
    <n v="0"/>
    <n v="0"/>
    <n v="0"/>
    <n v="0"/>
    <n v="0"/>
    <n v="0"/>
    <n v="0"/>
    <n v="0"/>
    <n v="0"/>
    <n v="0"/>
    <n v="0"/>
    <n v="0"/>
    <n v="0"/>
    <n v="0"/>
    <n v="0"/>
    <n v="0"/>
    <n v="0"/>
    <n v="0"/>
    <n v="0"/>
    <n v="0"/>
    <n v="0"/>
    <n v="0"/>
    <n v="0"/>
    <n v="0"/>
    <n v="0"/>
    <n v="0"/>
    <n v="0"/>
    <n v="0"/>
    <n v="0"/>
    <n v="0"/>
  </r>
  <r>
    <x v="2"/>
    <s v="AAM-SC/SC"/>
    <x v="62"/>
    <s v="BELLARPADY"/>
    <x v="0"/>
    <x v="73"/>
    <n v="0"/>
    <n v="0"/>
    <n v="9"/>
    <n v="0"/>
    <n v="9"/>
    <n v="59"/>
    <n v="3"/>
    <n v="3"/>
    <n v="0"/>
    <n v="11"/>
    <n v="7"/>
    <n v="11"/>
    <n v="5"/>
    <n v="0"/>
    <x v="0"/>
    <n v="0"/>
    <n v="0"/>
    <n v="0"/>
    <n v="0"/>
    <n v="0"/>
    <n v="0"/>
    <n v="0"/>
    <n v="0"/>
    <n v="0"/>
    <n v="0"/>
    <n v="0"/>
    <n v="0"/>
    <n v="0"/>
    <n v="0"/>
    <n v="0"/>
    <n v="0"/>
    <n v="0"/>
    <n v="0"/>
    <n v="5"/>
    <n v="0"/>
    <n v="0"/>
    <n v="0"/>
    <n v="0"/>
    <n v="0"/>
    <n v="0"/>
    <n v="0"/>
    <n v="0"/>
    <n v="0"/>
    <n v="0"/>
    <n v="0"/>
  </r>
  <r>
    <x v="2"/>
    <s v="AAM-SC/SC"/>
    <x v="66"/>
    <s v="BOLJE"/>
    <x v="0"/>
    <x v="40"/>
    <n v="0"/>
    <n v="0"/>
    <n v="17"/>
    <n v="0"/>
    <n v="13"/>
    <n v="89"/>
    <n v="0"/>
    <n v="1"/>
    <n v="0"/>
    <n v="16"/>
    <n v="16"/>
    <n v="8"/>
    <n v="7"/>
    <n v="0"/>
    <x v="0"/>
    <n v="0"/>
    <n v="0"/>
    <n v="0"/>
    <n v="0"/>
    <n v="0"/>
    <n v="0"/>
    <n v="0"/>
    <n v="0"/>
    <n v="0"/>
    <n v="0"/>
    <n v="0"/>
    <n v="0"/>
    <n v="0"/>
    <n v="0"/>
    <n v="0"/>
    <n v="0"/>
    <n v="0"/>
    <n v="0"/>
    <n v="0"/>
    <n v="0"/>
    <n v="0"/>
    <n v="0"/>
    <n v="0"/>
    <n v="0"/>
    <n v="0"/>
    <n v="0"/>
    <n v="0"/>
    <n v="0"/>
    <n v="0"/>
    <n v="0"/>
  </r>
  <r>
    <x v="2"/>
    <s v="AAM-SC/SC"/>
    <x v="62"/>
    <s v="BYRAMPALLI"/>
    <x v="0"/>
    <x v="26"/>
    <n v="0"/>
    <n v="0"/>
    <n v="29"/>
    <n v="0"/>
    <n v="29"/>
    <n v="181"/>
    <n v="8"/>
    <n v="1"/>
    <n v="0"/>
    <n v="21"/>
    <n v="10"/>
    <n v="19"/>
    <n v="12"/>
    <n v="0"/>
    <x v="0"/>
    <n v="0"/>
    <n v="0"/>
    <n v="2"/>
    <n v="0"/>
    <n v="0"/>
    <n v="0"/>
    <n v="0"/>
    <n v="0"/>
    <n v="0"/>
    <n v="0"/>
    <n v="0"/>
    <n v="0"/>
    <n v="0"/>
    <n v="0"/>
    <n v="0"/>
    <n v="0"/>
    <n v="0"/>
    <n v="0"/>
    <n v="24"/>
    <n v="0"/>
    <n v="0"/>
    <n v="0"/>
    <n v="0"/>
    <n v="0"/>
    <n v="0"/>
    <n v="0"/>
    <n v="0"/>
    <n v="0"/>
    <n v="0"/>
    <n v="0"/>
  </r>
  <r>
    <x v="2"/>
    <s v="AAM-SC/SC"/>
    <x v="71"/>
    <s v="GUJJARABETTU"/>
    <x v="0"/>
    <x v="31"/>
    <n v="0"/>
    <n v="0"/>
    <n v="36"/>
    <n v="0"/>
    <n v="36"/>
    <n v="108"/>
    <n v="1"/>
    <n v="0"/>
    <n v="0"/>
    <n v="33"/>
    <n v="56"/>
    <n v="3"/>
    <n v="2"/>
    <n v="0"/>
    <x v="0"/>
    <n v="0"/>
    <n v="0"/>
    <n v="0"/>
    <n v="0"/>
    <n v="0"/>
    <n v="0"/>
    <n v="0"/>
    <n v="0"/>
    <n v="0"/>
    <n v="0"/>
    <n v="0"/>
    <n v="0"/>
    <n v="0"/>
    <n v="0"/>
    <n v="0"/>
    <n v="0"/>
    <n v="0"/>
    <n v="0"/>
    <n v="0"/>
    <n v="0"/>
    <n v="0"/>
    <n v="0"/>
    <n v="0"/>
    <n v="0"/>
    <n v="0"/>
    <n v="0"/>
    <n v="16"/>
    <n v="0"/>
    <n v="0"/>
    <n v="0"/>
  </r>
  <r>
    <x v="2"/>
    <s v="AAM-SC/SC"/>
    <x v="69"/>
    <s v="HERGA A"/>
    <x v="0"/>
    <x v="54"/>
    <n v="0"/>
    <n v="0"/>
    <n v="49"/>
    <n v="0"/>
    <n v="49"/>
    <n v="259"/>
    <n v="2"/>
    <n v="5"/>
    <n v="0"/>
    <n v="29"/>
    <n v="11"/>
    <n v="36"/>
    <n v="0"/>
    <n v="0"/>
    <x v="0"/>
    <n v="0"/>
    <n v="0"/>
    <n v="0"/>
    <n v="0"/>
    <n v="0"/>
    <n v="0"/>
    <n v="0"/>
    <n v="0"/>
    <n v="0"/>
    <n v="0"/>
    <n v="0"/>
    <n v="0"/>
    <n v="0"/>
    <n v="0"/>
    <n v="0"/>
    <n v="0"/>
    <n v="0"/>
    <n v="0"/>
    <n v="0"/>
    <n v="0"/>
    <n v="0"/>
    <n v="0"/>
    <n v="0"/>
    <n v="0"/>
    <n v="0"/>
    <n v="0"/>
    <n v="0"/>
    <n v="0"/>
    <n v="0"/>
    <n v="0"/>
  </r>
  <r>
    <x v="2"/>
    <s v="AAM-SC/SC"/>
    <x v="69"/>
    <s v="HERGA B"/>
    <x v="0"/>
    <x v="62"/>
    <n v="0"/>
    <n v="0"/>
    <n v="67"/>
    <n v="0"/>
    <n v="67"/>
    <n v="400"/>
    <n v="9"/>
    <n v="12"/>
    <n v="2"/>
    <n v="49"/>
    <n v="10"/>
    <n v="67"/>
    <n v="0"/>
    <n v="0"/>
    <x v="0"/>
    <n v="0"/>
    <n v="0"/>
    <n v="0"/>
    <n v="0"/>
    <n v="0"/>
    <n v="0"/>
    <n v="0"/>
    <n v="0"/>
    <n v="0"/>
    <n v="0"/>
    <n v="0"/>
    <n v="0"/>
    <n v="0"/>
    <n v="0"/>
    <n v="0"/>
    <n v="0"/>
    <n v="0"/>
    <n v="0"/>
    <n v="0"/>
    <n v="0"/>
    <n v="0"/>
    <n v="0"/>
    <n v="0"/>
    <n v="0"/>
    <n v="0"/>
    <n v="0"/>
    <n v="0"/>
    <n v="0"/>
    <n v="0"/>
    <n v="0"/>
  </r>
  <r>
    <x v="2"/>
    <s v="AAM-SC/SC"/>
    <x v="69"/>
    <s v="HIREBETTU"/>
    <x v="0"/>
    <x v="10"/>
    <n v="0"/>
    <n v="0"/>
    <n v="26"/>
    <n v="0"/>
    <n v="26"/>
    <n v="136"/>
    <n v="0"/>
    <n v="0"/>
    <n v="0"/>
    <n v="19"/>
    <n v="10"/>
    <n v="23"/>
    <n v="0"/>
    <n v="0"/>
    <x v="0"/>
    <n v="0"/>
    <n v="0"/>
    <n v="0"/>
    <n v="0"/>
    <n v="0"/>
    <n v="0"/>
    <n v="0"/>
    <n v="0"/>
    <n v="0"/>
    <n v="0"/>
    <n v="0"/>
    <n v="0"/>
    <n v="0"/>
    <n v="0"/>
    <n v="0"/>
    <n v="0"/>
    <n v="0"/>
    <n v="0"/>
    <n v="0"/>
    <n v="0"/>
    <n v="0"/>
    <n v="0"/>
    <n v="0"/>
    <n v="0"/>
    <n v="0"/>
    <n v="0"/>
    <n v="0"/>
    <n v="0"/>
    <n v="0"/>
    <n v="0"/>
  </r>
  <r>
    <x v="2"/>
    <s v="AAM-SC/SC"/>
    <x v="72"/>
    <s v="HIRIYADKA A"/>
    <x v="0"/>
    <x v="23"/>
    <n v="0"/>
    <n v="0"/>
    <n v="41"/>
    <n v="0"/>
    <n v="36"/>
    <n v="78"/>
    <n v="0"/>
    <n v="0"/>
    <n v="0"/>
    <n v="32"/>
    <n v="32"/>
    <n v="34"/>
    <n v="0"/>
    <n v="0"/>
    <x v="0"/>
    <n v="0"/>
    <n v="0"/>
    <n v="26"/>
    <n v="4"/>
    <n v="0"/>
    <n v="0"/>
    <n v="0"/>
    <n v="0"/>
    <n v="0"/>
    <n v="0"/>
    <n v="0"/>
    <n v="0"/>
    <n v="0"/>
    <n v="0"/>
    <n v="0"/>
    <n v="0"/>
    <n v="0"/>
    <n v="0"/>
    <n v="0"/>
    <n v="0"/>
    <n v="0"/>
    <n v="0"/>
    <n v="0"/>
    <n v="0"/>
    <n v="0"/>
    <n v="0"/>
    <n v="0"/>
    <n v="0"/>
    <n v="0"/>
    <n v="0"/>
  </r>
  <r>
    <x v="2"/>
    <s v="AAM-SC/SC"/>
    <x v="72"/>
    <s v="HIRIYADKA B"/>
    <x v="0"/>
    <x v="42"/>
    <n v="0"/>
    <n v="0"/>
    <n v="32"/>
    <n v="0"/>
    <n v="32"/>
    <n v="75"/>
    <n v="1"/>
    <n v="4"/>
    <n v="1"/>
    <n v="27"/>
    <n v="27"/>
    <n v="31"/>
    <n v="0"/>
    <n v="0"/>
    <x v="0"/>
    <n v="0"/>
    <n v="0"/>
    <n v="24"/>
    <n v="3"/>
    <n v="0"/>
    <n v="0"/>
    <n v="0"/>
    <n v="0"/>
    <n v="0"/>
    <n v="0"/>
    <n v="0"/>
    <n v="0"/>
    <n v="0"/>
    <n v="0"/>
    <n v="0"/>
    <n v="0"/>
    <n v="0"/>
    <n v="0"/>
    <n v="0"/>
    <n v="0"/>
    <n v="0"/>
    <n v="0"/>
    <n v="0"/>
    <n v="0"/>
    <n v="0"/>
    <n v="0"/>
    <n v="0"/>
    <n v="0"/>
    <n v="0"/>
    <n v="0"/>
  </r>
  <r>
    <x v="2"/>
    <s v="AAM-SC/SC"/>
    <x v="71"/>
    <s v="HOODE"/>
    <x v="0"/>
    <x v="14"/>
    <n v="0"/>
    <n v="0"/>
    <n v="45"/>
    <n v="0"/>
    <n v="45"/>
    <n v="168"/>
    <n v="0"/>
    <n v="0"/>
    <n v="0"/>
    <n v="26"/>
    <n v="26"/>
    <n v="20"/>
    <n v="18"/>
    <n v="3"/>
    <x v="0"/>
    <n v="0"/>
    <n v="0"/>
    <n v="0"/>
    <n v="0"/>
    <n v="0"/>
    <n v="0"/>
    <n v="0"/>
    <n v="0"/>
    <n v="0"/>
    <n v="0"/>
    <n v="0"/>
    <n v="0"/>
    <n v="0"/>
    <n v="0"/>
    <n v="0"/>
    <n v="0"/>
    <n v="0"/>
    <n v="0"/>
    <n v="2"/>
    <n v="2"/>
    <n v="0"/>
    <n v="0"/>
    <n v="0"/>
    <n v="0"/>
    <n v="0"/>
    <n v="0"/>
    <n v="1"/>
    <n v="0"/>
    <n v="0"/>
    <n v="0"/>
  </r>
  <r>
    <x v="2"/>
    <s v="AAM-SC/SC"/>
    <x v="73"/>
    <s v="KADEKAR"/>
    <x v="0"/>
    <x v="35"/>
    <n v="0"/>
    <n v="0"/>
    <n v="37"/>
    <n v="0"/>
    <n v="37"/>
    <n v="37"/>
    <n v="6"/>
    <n v="4"/>
    <n v="0"/>
    <n v="28"/>
    <n v="28"/>
    <n v="25"/>
    <n v="16"/>
    <n v="2"/>
    <x v="0"/>
    <n v="0"/>
    <n v="0"/>
    <n v="0"/>
    <n v="0"/>
    <n v="0"/>
    <n v="0"/>
    <n v="0"/>
    <n v="0"/>
    <n v="0"/>
    <n v="0"/>
    <n v="0"/>
    <n v="0"/>
    <n v="0"/>
    <n v="0"/>
    <n v="0"/>
    <n v="0"/>
    <n v="0"/>
    <n v="0"/>
    <n v="0"/>
    <n v="0"/>
    <n v="0"/>
    <n v="0"/>
    <n v="0"/>
    <n v="0"/>
    <n v="0"/>
    <n v="0"/>
    <n v="0"/>
    <n v="0"/>
    <n v="0"/>
    <n v="0"/>
  </r>
  <r>
    <x v="2"/>
    <s v="AAM-SC/SC"/>
    <x v="73"/>
    <s v="KALMADI"/>
    <x v="0"/>
    <x v="40"/>
    <n v="0"/>
    <n v="0"/>
    <n v="17"/>
    <n v="0"/>
    <n v="17"/>
    <n v="17"/>
    <n v="1"/>
    <n v="3"/>
    <n v="0"/>
    <n v="13"/>
    <n v="11"/>
    <n v="12"/>
    <n v="14"/>
    <n v="0"/>
    <x v="2"/>
    <n v="0"/>
    <n v="0"/>
    <n v="0"/>
    <n v="0"/>
    <n v="0"/>
    <n v="0"/>
    <n v="0"/>
    <n v="0"/>
    <n v="0"/>
    <n v="0"/>
    <n v="0"/>
    <n v="0"/>
    <n v="0"/>
    <n v="0"/>
    <n v="0"/>
    <n v="0"/>
    <n v="0"/>
    <n v="0"/>
    <n v="0"/>
    <n v="0"/>
    <n v="0"/>
    <n v="0"/>
    <n v="0"/>
    <n v="0"/>
    <n v="0"/>
    <n v="0"/>
    <n v="0"/>
    <n v="0"/>
    <n v="0"/>
    <n v="0"/>
  </r>
  <r>
    <x v="2"/>
    <s v="AAM-SC/SC"/>
    <x v="71"/>
    <s v="KALYANPURA"/>
    <x v="0"/>
    <x v="4"/>
    <n v="0"/>
    <n v="0"/>
    <n v="23"/>
    <n v="0"/>
    <n v="23"/>
    <n v="121"/>
    <n v="6"/>
    <n v="9"/>
    <n v="1"/>
    <n v="23"/>
    <n v="23"/>
    <n v="17"/>
    <n v="3"/>
    <n v="0"/>
    <x v="0"/>
    <n v="0"/>
    <n v="0"/>
    <n v="0"/>
    <n v="0"/>
    <n v="0"/>
    <n v="0"/>
    <n v="0"/>
    <n v="0"/>
    <n v="0"/>
    <n v="0"/>
    <n v="0"/>
    <n v="0"/>
    <n v="0"/>
    <n v="0"/>
    <n v="0"/>
    <n v="0"/>
    <n v="0"/>
    <n v="0"/>
    <n v="2"/>
    <n v="0"/>
    <n v="0"/>
    <n v="0"/>
    <n v="0"/>
    <n v="0"/>
    <n v="0"/>
    <n v="0"/>
    <n v="5"/>
    <n v="0"/>
    <n v="0"/>
    <n v="0"/>
  </r>
  <r>
    <x v="2"/>
    <s v="AAM-SC/SC"/>
    <x v="74"/>
    <s v="KARAMBALLI"/>
    <x v="0"/>
    <x v="56"/>
    <n v="0"/>
    <n v="0"/>
    <n v="43"/>
    <n v="0"/>
    <n v="43"/>
    <n v="280"/>
    <n v="3"/>
    <n v="1"/>
    <n v="1"/>
    <n v="65"/>
    <n v="19"/>
    <n v="39"/>
    <n v="38"/>
    <n v="0"/>
    <x v="0"/>
    <n v="0"/>
    <n v="0"/>
    <n v="0"/>
    <n v="0"/>
    <n v="0"/>
    <n v="0"/>
    <n v="0"/>
    <n v="0"/>
    <n v="0"/>
    <n v="0"/>
    <n v="0"/>
    <n v="0"/>
    <n v="0"/>
    <n v="0"/>
    <n v="0"/>
    <n v="0"/>
    <n v="0"/>
    <n v="0"/>
    <n v="0"/>
    <n v="0"/>
    <n v="0"/>
    <n v="0"/>
    <n v="0"/>
    <n v="0"/>
    <n v="0"/>
    <n v="0"/>
    <n v="0"/>
    <n v="0"/>
    <n v="0"/>
    <n v="0"/>
  </r>
  <r>
    <x v="2"/>
    <s v="AAM-SC/SC"/>
    <x v="71"/>
    <s v="KELARKALABETTU"/>
    <x v="0"/>
    <x v="2"/>
    <n v="0"/>
    <n v="5"/>
    <n v="46"/>
    <n v="0"/>
    <n v="51"/>
    <n v="210"/>
    <n v="13"/>
    <n v="6"/>
    <n v="1"/>
    <n v="41"/>
    <n v="41"/>
    <n v="4"/>
    <n v="4"/>
    <n v="0"/>
    <x v="0"/>
    <n v="0"/>
    <n v="0"/>
    <n v="0"/>
    <n v="0"/>
    <n v="0"/>
    <n v="0"/>
    <n v="0"/>
    <n v="0"/>
    <n v="0"/>
    <n v="0"/>
    <n v="0"/>
    <n v="0"/>
    <n v="0"/>
    <n v="0"/>
    <n v="0"/>
    <n v="0"/>
    <n v="0"/>
    <n v="0"/>
    <n v="0"/>
    <n v="0"/>
    <n v="0"/>
    <n v="0"/>
    <n v="0"/>
    <n v="0"/>
    <n v="0"/>
    <n v="0"/>
    <n v="10"/>
    <n v="0"/>
    <n v="0"/>
    <n v="0"/>
  </r>
  <r>
    <x v="2"/>
    <s v="AAM-SC/SC"/>
    <x v="71"/>
    <s v="KEMMANNU"/>
    <x v="0"/>
    <x v="3"/>
    <n v="0"/>
    <n v="0"/>
    <n v="28"/>
    <n v="0"/>
    <n v="25"/>
    <n v="129"/>
    <n v="4"/>
    <n v="3"/>
    <n v="0"/>
    <n v="19"/>
    <n v="18"/>
    <n v="19"/>
    <n v="0"/>
    <n v="0"/>
    <x v="0"/>
    <n v="0"/>
    <n v="0"/>
    <n v="0"/>
    <n v="0"/>
    <n v="0"/>
    <n v="0"/>
    <n v="0"/>
    <n v="0"/>
    <n v="0"/>
    <n v="0"/>
    <n v="0"/>
    <n v="0"/>
    <n v="0"/>
    <n v="0"/>
    <n v="0"/>
    <n v="0"/>
    <n v="0"/>
    <n v="0"/>
    <n v="29"/>
    <n v="0"/>
    <n v="0"/>
    <n v="0"/>
    <n v="0"/>
    <n v="0"/>
    <n v="0"/>
    <n v="0"/>
    <n v="9"/>
    <n v="0"/>
    <n v="0"/>
    <n v="0"/>
  </r>
  <r>
    <x v="2"/>
    <s v="AAM-SC/SC"/>
    <x v="73"/>
    <s v="KIDIYOOR"/>
    <x v="0"/>
    <x v="2"/>
    <n v="0"/>
    <n v="0"/>
    <n v="51"/>
    <n v="0"/>
    <n v="47"/>
    <n v="51"/>
    <n v="18"/>
    <n v="2"/>
    <n v="1"/>
    <n v="38"/>
    <n v="38"/>
    <n v="45"/>
    <n v="17"/>
    <n v="0"/>
    <x v="0"/>
    <n v="0"/>
    <n v="0"/>
    <n v="3"/>
    <n v="1"/>
    <n v="0"/>
    <n v="0"/>
    <n v="0"/>
    <n v="0"/>
    <n v="0"/>
    <n v="0"/>
    <n v="0"/>
    <n v="0"/>
    <n v="0"/>
    <n v="0"/>
    <n v="0"/>
    <n v="0"/>
    <n v="0"/>
    <n v="0"/>
    <n v="0"/>
    <n v="0"/>
    <n v="0"/>
    <n v="0"/>
    <n v="0"/>
    <n v="0"/>
    <n v="0"/>
    <n v="0"/>
    <n v="0"/>
    <n v="0"/>
    <n v="0"/>
    <n v="0"/>
  </r>
  <r>
    <x v="2"/>
    <s v="AAM-SC/SC"/>
    <x v="73"/>
    <s v="KODAVOOR A"/>
    <x v="0"/>
    <x v="25"/>
    <n v="0"/>
    <n v="0"/>
    <n v="80"/>
    <n v="0"/>
    <n v="80"/>
    <n v="94"/>
    <n v="0"/>
    <n v="0"/>
    <n v="0"/>
    <n v="76"/>
    <n v="76"/>
    <n v="80"/>
    <n v="0"/>
    <n v="0"/>
    <x v="0"/>
    <n v="0"/>
    <n v="0"/>
    <n v="0"/>
    <n v="0"/>
    <n v="0"/>
    <n v="0"/>
    <n v="0"/>
    <n v="0"/>
    <n v="0"/>
    <n v="0"/>
    <n v="0"/>
    <n v="0"/>
    <n v="0"/>
    <n v="0"/>
    <n v="0"/>
    <n v="0"/>
    <n v="0"/>
    <n v="0"/>
    <n v="0"/>
    <n v="0"/>
    <n v="0"/>
    <n v="0"/>
    <n v="0"/>
    <n v="0"/>
    <n v="0"/>
    <n v="0"/>
    <n v="0"/>
    <n v="0"/>
    <n v="0"/>
    <n v="0"/>
  </r>
  <r>
    <x v="2"/>
    <s v="AAM-SC/SC"/>
    <x v="73"/>
    <s v="KODAVOOR B"/>
    <x v="0"/>
    <x v="53"/>
    <n v="0"/>
    <n v="0"/>
    <n v="69"/>
    <n v="0"/>
    <n v="69"/>
    <n v="98"/>
    <n v="7"/>
    <n v="8"/>
    <n v="0"/>
    <n v="79"/>
    <n v="79"/>
    <n v="69"/>
    <n v="0"/>
    <n v="0"/>
    <x v="0"/>
    <n v="0"/>
    <n v="0"/>
    <n v="0"/>
    <n v="0"/>
    <n v="0"/>
    <n v="0"/>
    <n v="0"/>
    <n v="0"/>
    <n v="0"/>
    <n v="0"/>
    <n v="0"/>
    <n v="0"/>
    <n v="0"/>
    <n v="0"/>
    <n v="0"/>
    <n v="0"/>
    <n v="0"/>
    <n v="0"/>
    <n v="0"/>
    <n v="0"/>
    <n v="0"/>
    <n v="0"/>
    <n v="0"/>
    <n v="0"/>
    <n v="0"/>
    <n v="0"/>
    <n v="0"/>
    <n v="0"/>
    <n v="0"/>
    <n v="0"/>
  </r>
  <r>
    <x v="2"/>
    <s v="AAM-SC/SC"/>
    <x v="70"/>
    <s v="KORANGRAPADI-A"/>
    <x v="0"/>
    <x v="0"/>
    <n v="0"/>
    <n v="0"/>
    <n v="21"/>
    <n v="0"/>
    <n v="21"/>
    <n v="146"/>
    <n v="5"/>
    <n v="5"/>
    <n v="0"/>
    <n v="23"/>
    <n v="22"/>
    <n v="11"/>
    <n v="0"/>
    <n v="0"/>
    <x v="0"/>
    <n v="0"/>
    <n v="0"/>
    <n v="0"/>
    <n v="0"/>
    <n v="0"/>
    <n v="0"/>
    <n v="0"/>
    <n v="0"/>
    <n v="0"/>
    <n v="0"/>
    <n v="0"/>
    <n v="0"/>
    <n v="0"/>
    <n v="0"/>
    <n v="0"/>
    <n v="0"/>
    <n v="0"/>
    <n v="0"/>
    <n v="2"/>
    <n v="0"/>
    <n v="0"/>
    <n v="0"/>
    <n v="0"/>
    <n v="0"/>
    <n v="0"/>
    <n v="0"/>
    <n v="0"/>
    <n v="0"/>
    <n v="0"/>
    <n v="0"/>
  </r>
  <r>
    <x v="2"/>
    <s v="AAM-SC/SC"/>
    <x v="70"/>
    <s v="KORANGRAPADI-B"/>
    <x v="0"/>
    <x v="3"/>
    <n v="0"/>
    <n v="0"/>
    <n v="28"/>
    <n v="0"/>
    <n v="28"/>
    <n v="192"/>
    <n v="10"/>
    <n v="13"/>
    <n v="1"/>
    <n v="23"/>
    <n v="21"/>
    <n v="18"/>
    <n v="0"/>
    <n v="0"/>
    <x v="0"/>
    <n v="0"/>
    <n v="0"/>
    <n v="0"/>
    <n v="0"/>
    <n v="0"/>
    <n v="0"/>
    <n v="0"/>
    <n v="0"/>
    <n v="0"/>
    <n v="0"/>
    <n v="0"/>
    <n v="0"/>
    <n v="0"/>
    <n v="0"/>
    <n v="0"/>
    <n v="0"/>
    <n v="0"/>
    <n v="0"/>
    <n v="0"/>
    <n v="0"/>
    <n v="0"/>
    <n v="0"/>
    <n v="0"/>
    <n v="0"/>
    <n v="0"/>
    <n v="0"/>
    <n v="0"/>
    <n v="0"/>
    <n v="0"/>
    <n v="0"/>
  </r>
  <r>
    <x v="2"/>
    <s v="AAM-SC/SC"/>
    <x v="62"/>
    <s v="KUKKEHALLI"/>
    <x v="0"/>
    <x v="32"/>
    <n v="0"/>
    <n v="0"/>
    <n v="31"/>
    <n v="0"/>
    <n v="31"/>
    <n v="73"/>
    <n v="0"/>
    <n v="0"/>
    <n v="0"/>
    <n v="27"/>
    <n v="29"/>
    <n v="23"/>
    <n v="2"/>
    <n v="5"/>
    <x v="0"/>
    <n v="0"/>
    <n v="0"/>
    <n v="0"/>
    <n v="0"/>
    <n v="0"/>
    <n v="0"/>
    <n v="1"/>
    <n v="0"/>
    <n v="0"/>
    <n v="0"/>
    <n v="0"/>
    <n v="0"/>
    <n v="0"/>
    <n v="0"/>
    <n v="0"/>
    <n v="0"/>
    <n v="0"/>
    <n v="0"/>
    <n v="2"/>
    <n v="0"/>
    <n v="0"/>
    <n v="0"/>
    <n v="0"/>
    <n v="0"/>
    <n v="0"/>
    <n v="0"/>
    <n v="1"/>
    <n v="0"/>
    <n v="0"/>
    <n v="0"/>
  </r>
  <r>
    <x v="2"/>
    <s v="AAM-SC/SC"/>
    <x v="73"/>
    <s v="KUTHPADI"/>
    <x v="0"/>
    <x v="40"/>
    <n v="0"/>
    <n v="0"/>
    <n v="17"/>
    <n v="0"/>
    <n v="14"/>
    <n v="17"/>
    <n v="6"/>
    <n v="0"/>
    <n v="0"/>
    <n v="29"/>
    <n v="29"/>
    <n v="16"/>
    <n v="23"/>
    <n v="4"/>
    <x v="0"/>
    <n v="0"/>
    <n v="0"/>
    <n v="2"/>
    <n v="0"/>
    <n v="1"/>
    <n v="0"/>
    <n v="0"/>
    <n v="0"/>
    <n v="0"/>
    <n v="0"/>
    <n v="0"/>
    <n v="0"/>
    <n v="0"/>
    <n v="0"/>
    <n v="0"/>
    <n v="0"/>
    <n v="0"/>
    <n v="0"/>
    <n v="0"/>
    <n v="0"/>
    <n v="0"/>
    <n v="0"/>
    <n v="0"/>
    <n v="0"/>
    <n v="0"/>
    <n v="0"/>
    <n v="0"/>
    <n v="0"/>
    <n v="0"/>
    <n v="0"/>
  </r>
  <r>
    <x v="2"/>
    <s v="AAM-SC/SC"/>
    <x v="70"/>
    <s v="MANIPURA"/>
    <x v="0"/>
    <x v="63"/>
    <n v="0"/>
    <n v="0"/>
    <n v="40"/>
    <n v="0"/>
    <n v="40"/>
    <n v="249"/>
    <n v="16"/>
    <n v="12"/>
    <n v="0"/>
    <n v="39"/>
    <n v="34"/>
    <n v="30"/>
    <n v="0"/>
    <n v="0"/>
    <x v="0"/>
    <n v="0"/>
    <n v="0"/>
    <n v="0"/>
    <n v="0"/>
    <n v="0"/>
    <n v="0"/>
    <n v="0"/>
    <n v="0"/>
    <n v="0"/>
    <n v="0"/>
    <n v="0"/>
    <n v="0"/>
    <n v="0"/>
    <n v="0"/>
    <n v="0"/>
    <n v="0"/>
    <n v="0"/>
    <n v="0"/>
    <n v="0"/>
    <n v="0"/>
    <n v="0"/>
    <n v="0"/>
    <n v="0"/>
    <n v="0"/>
    <n v="0"/>
    <n v="0"/>
    <n v="0"/>
    <n v="0"/>
    <n v="0"/>
    <n v="0"/>
  </r>
  <r>
    <x v="2"/>
    <s v="AAM-SC/SC"/>
    <x v="70"/>
    <s v="MARNE"/>
    <x v="0"/>
    <x v="6"/>
    <n v="0"/>
    <n v="0"/>
    <n v="20"/>
    <n v="0"/>
    <n v="20"/>
    <n v="107"/>
    <n v="11"/>
    <n v="9"/>
    <n v="1"/>
    <n v="19"/>
    <n v="19"/>
    <n v="15"/>
    <n v="0"/>
    <n v="0"/>
    <x v="0"/>
    <n v="0"/>
    <n v="0"/>
    <n v="1"/>
    <n v="0"/>
    <n v="0"/>
    <n v="0"/>
    <n v="0"/>
    <n v="0"/>
    <n v="0"/>
    <n v="0"/>
    <n v="0"/>
    <n v="0"/>
    <n v="0"/>
    <n v="0"/>
    <n v="0"/>
    <n v="0"/>
    <n v="0"/>
    <n v="0"/>
    <n v="0"/>
    <n v="0"/>
    <n v="0"/>
    <n v="0"/>
    <n v="0"/>
    <n v="0"/>
    <n v="0"/>
    <n v="0"/>
    <n v="0"/>
    <n v="0"/>
    <n v="0"/>
    <n v="0"/>
  </r>
  <r>
    <x v="2"/>
    <s v="AAM-SC/SC"/>
    <x v="71"/>
    <s v="NIDAMBALLI"/>
    <x v="0"/>
    <x v="38"/>
    <n v="0"/>
    <n v="0"/>
    <n v="44"/>
    <n v="0"/>
    <n v="44"/>
    <n v="213"/>
    <n v="7"/>
    <n v="5"/>
    <n v="1"/>
    <n v="36"/>
    <n v="36"/>
    <n v="37"/>
    <n v="8"/>
    <n v="0"/>
    <x v="0"/>
    <n v="0"/>
    <n v="0"/>
    <n v="0"/>
    <n v="0"/>
    <n v="0"/>
    <n v="0"/>
    <n v="0"/>
    <n v="0"/>
    <n v="0"/>
    <n v="0"/>
    <n v="0"/>
    <n v="0"/>
    <n v="0"/>
    <n v="0"/>
    <n v="0"/>
    <n v="0"/>
    <n v="0"/>
    <n v="0"/>
    <n v="3"/>
    <n v="0"/>
    <n v="0"/>
    <n v="0"/>
    <n v="0"/>
    <n v="0"/>
    <n v="0"/>
    <n v="0"/>
    <n v="24"/>
    <n v="0"/>
    <n v="0"/>
    <n v="0"/>
  </r>
  <r>
    <x v="2"/>
    <s v="AAM-SC/SC"/>
    <x v="62"/>
    <s v="PADIGARA"/>
    <x v="0"/>
    <x v="8"/>
    <n v="0"/>
    <n v="0"/>
    <n v="13"/>
    <n v="0"/>
    <n v="13"/>
    <n v="92"/>
    <n v="2"/>
    <n v="3"/>
    <n v="0"/>
    <n v="17"/>
    <n v="10"/>
    <n v="18"/>
    <n v="0"/>
    <n v="0"/>
    <x v="0"/>
    <n v="0"/>
    <n v="0"/>
    <n v="0"/>
    <n v="1"/>
    <n v="0"/>
    <n v="0"/>
    <n v="0"/>
    <n v="0"/>
    <n v="0"/>
    <n v="0"/>
    <n v="0"/>
    <n v="0"/>
    <n v="0"/>
    <n v="0"/>
    <n v="0"/>
    <n v="0"/>
    <n v="0"/>
    <n v="0"/>
    <n v="2"/>
    <n v="0"/>
    <n v="0"/>
    <n v="0"/>
    <n v="0"/>
    <n v="0"/>
    <n v="0"/>
    <n v="0"/>
    <n v="0"/>
    <n v="0"/>
    <n v="0"/>
    <n v="0"/>
  </r>
  <r>
    <x v="2"/>
    <s v="AAM-SC/SC"/>
    <x v="67"/>
    <s v="PERANANKILA"/>
    <x v="0"/>
    <x v="60"/>
    <n v="0"/>
    <n v="0"/>
    <n v="8"/>
    <n v="0"/>
    <n v="7"/>
    <n v="23"/>
    <n v="0"/>
    <n v="0"/>
    <n v="0"/>
    <n v="10"/>
    <n v="10"/>
    <n v="9"/>
    <n v="0"/>
    <n v="0"/>
    <x v="0"/>
    <n v="0"/>
    <n v="0"/>
    <n v="0"/>
    <n v="0"/>
    <n v="0"/>
    <n v="0"/>
    <n v="0"/>
    <n v="0"/>
    <n v="0"/>
    <n v="0"/>
    <n v="0"/>
    <n v="0"/>
    <n v="0"/>
    <n v="0"/>
    <n v="0"/>
    <n v="0"/>
    <n v="0"/>
    <n v="0"/>
    <n v="0"/>
    <n v="0"/>
    <n v="0"/>
    <n v="0"/>
    <n v="0"/>
    <n v="0"/>
    <n v="0"/>
    <n v="0"/>
    <n v="0"/>
    <n v="0"/>
    <n v="0"/>
    <n v="0"/>
  </r>
  <r>
    <x v="2"/>
    <s v="AAM-SC/SC"/>
    <x v="62"/>
    <s v="PERDUR"/>
    <x v="0"/>
    <x v="27"/>
    <n v="0"/>
    <n v="0"/>
    <n v="37"/>
    <n v="0"/>
    <n v="38"/>
    <n v="179"/>
    <n v="8"/>
    <n v="7"/>
    <n v="2"/>
    <n v="26"/>
    <n v="30"/>
    <n v="34"/>
    <n v="0"/>
    <n v="0"/>
    <x v="0"/>
    <n v="0"/>
    <n v="0"/>
    <n v="0"/>
    <n v="0"/>
    <n v="0"/>
    <n v="0"/>
    <n v="0"/>
    <n v="0"/>
    <n v="0"/>
    <n v="0"/>
    <n v="0"/>
    <n v="0"/>
    <n v="0"/>
    <n v="0"/>
    <n v="0"/>
    <n v="0"/>
    <n v="0"/>
    <n v="0"/>
    <n v="8"/>
    <n v="1"/>
    <n v="0"/>
    <n v="0"/>
    <n v="0"/>
    <n v="0"/>
    <n v="0"/>
    <n v="0"/>
    <n v="0"/>
    <n v="0"/>
    <n v="0"/>
    <n v="0"/>
  </r>
  <r>
    <x v="2"/>
    <s v="AAM-SC/SC"/>
    <x v="66"/>
    <s v="PITHRODI"/>
    <x v="0"/>
    <x v="15"/>
    <n v="0"/>
    <n v="0"/>
    <n v="30"/>
    <n v="0"/>
    <n v="30"/>
    <n v="184"/>
    <n v="7"/>
    <n v="4"/>
    <n v="1"/>
    <n v="30"/>
    <n v="29"/>
    <n v="25"/>
    <n v="5"/>
    <n v="0"/>
    <x v="0"/>
    <n v="0"/>
    <n v="0"/>
    <n v="0"/>
    <n v="0"/>
    <n v="0"/>
    <n v="0"/>
    <n v="0"/>
    <n v="0"/>
    <n v="0"/>
    <n v="0"/>
    <n v="0"/>
    <n v="0"/>
    <n v="0"/>
    <n v="0"/>
    <n v="0"/>
    <n v="0"/>
    <n v="0"/>
    <n v="0"/>
    <n v="0"/>
    <n v="0"/>
    <n v="0"/>
    <n v="0"/>
    <n v="0"/>
    <n v="0"/>
    <n v="0"/>
    <n v="0"/>
    <n v="2"/>
    <n v="0"/>
    <n v="0"/>
    <n v="0"/>
  </r>
  <r>
    <x v="2"/>
    <s v="AAM-SC/SC"/>
    <x v="62"/>
    <s v="PUTTIGE"/>
    <x v="0"/>
    <x v="30"/>
    <n v="0"/>
    <n v="0"/>
    <n v="34"/>
    <n v="0"/>
    <n v="30"/>
    <n v="90"/>
    <n v="7"/>
    <n v="5"/>
    <n v="0"/>
    <n v="35"/>
    <n v="31"/>
    <n v="28"/>
    <n v="2"/>
    <n v="0"/>
    <x v="0"/>
    <n v="0"/>
    <n v="0"/>
    <n v="0"/>
    <n v="1"/>
    <n v="0"/>
    <n v="0"/>
    <n v="0"/>
    <n v="0"/>
    <n v="0"/>
    <n v="0"/>
    <n v="0"/>
    <n v="0"/>
    <n v="0"/>
    <n v="0"/>
    <n v="0"/>
    <n v="0"/>
    <n v="0"/>
    <n v="0"/>
    <n v="8"/>
    <n v="0"/>
    <n v="0"/>
    <n v="0"/>
    <n v="0"/>
    <n v="0"/>
    <n v="0"/>
    <n v="0"/>
    <n v="1"/>
    <n v="0"/>
    <n v="0"/>
    <n v="0"/>
  </r>
  <r>
    <x v="2"/>
    <s v="AAM-SC/SC"/>
    <x v="71"/>
    <s v="TENKANIDIYOOR"/>
    <x v="0"/>
    <x v="41"/>
    <n v="0"/>
    <n v="0"/>
    <n v="48"/>
    <n v="0"/>
    <n v="48"/>
    <n v="206"/>
    <n v="6"/>
    <n v="10"/>
    <n v="0"/>
    <n v="40"/>
    <n v="40"/>
    <n v="34"/>
    <n v="0"/>
    <n v="0"/>
    <x v="0"/>
    <n v="0"/>
    <n v="0"/>
    <n v="0"/>
    <n v="0"/>
    <n v="0"/>
    <n v="0"/>
    <n v="0"/>
    <n v="0"/>
    <n v="0"/>
    <n v="0"/>
    <n v="0"/>
    <n v="0"/>
    <n v="0"/>
    <n v="0"/>
    <n v="0"/>
    <n v="0"/>
    <n v="0"/>
    <n v="0"/>
    <n v="36"/>
    <n v="0"/>
    <n v="0"/>
    <n v="0"/>
    <n v="0"/>
    <n v="0"/>
    <n v="0"/>
    <n v="0"/>
    <n v="7"/>
    <n v="0"/>
    <n v="0"/>
    <n v="0"/>
  </r>
  <r>
    <x v="2"/>
    <s v="AAM-PHC/PHC"/>
    <x v="51"/>
    <s v="AVARSEE"/>
    <x v="0"/>
    <x v="12"/>
    <n v="0"/>
    <n v="0"/>
    <n v="0"/>
    <n v="0"/>
    <n v="0"/>
    <n v="469"/>
    <n v="89"/>
    <n v="55"/>
    <n v="6"/>
    <n v="0"/>
    <n v="0"/>
    <n v="45"/>
    <n v="95"/>
    <n v="0"/>
    <x v="2"/>
    <n v="1"/>
    <n v="0"/>
    <n v="23"/>
    <n v="27"/>
    <n v="0"/>
    <n v="0"/>
    <n v="6"/>
    <n v="0"/>
    <n v="0"/>
    <n v="0"/>
    <n v="135"/>
    <n v="0"/>
    <n v="0"/>
    <n v="0"/>
    <n v="0"/>
    <n v="0"/>
    <n v="0"/>
    <n v="0"/>
    <n v="0"/>
    <n v="0"/>
    <n v="0"/>
    <n v="0"/>
    <n v="0"/>
    <n v="0"/>
    <n v="0"/>
    <n v="0"/>
    <n v="0"/>
    <n v="0"/>
    <n v="0"/>
    <n v="0"/>
  </r>
  <r>
    <x v="2"/>
    <s v="AAM-PHC/PHC"/>
    <x v="56"/>
    <s v="BARKUR"/>
    <x v="0"/>
    <x v="21"/>
    <n v="0"/>
    <n v="0"/>
    <n v="6"/>
    <n v="0"/>
    <n v="4"/>
    <n v="141"/>
    <n v="36"/>
    <n v="21"/>
    <n v="8"/>
    <n v="10"/>
    <n v="10"/>
    <n v="38"/>
    <n v="19"/>
    <n v="1"/>
    <x v="0"/>
    <n v="0"/>
    <n v="0"/>
    <n v="3"/>
    <n v="29"/>
    <n v="3"/>
    <n v="3"/>
    <n v="1"/>
    <n v="0"/>
    <n v="0"/>
    <n v="0"/>
    <n v="14"/>
    <n v="0"/>
    <n v="0"/>
    <n v="0"/>
    <n v="0"/>
    <n v="0"/>
    <n v="0"/>
    <n v="0"/>
    <n v="0"/>
    <n v="0"/>
    <n v="0"/>
    <n v="0"/>
    <n v="0"/>
    <n v="0"/>
    <n v="0"/>
    <n v="0"/>
    <n v="0"/>
    <n v="0"/>
    <n v="0"/>
    <n v="0"/>
  </r>
  <r>
    <x v="2"/>
    <s v="AAM-PHC/PHC"/>
    <x v="75"/>
    <s v="FPAI UDUPI"/>
    <x v="0"/>
    <x v="12"/>
    <n v="0"/>
    <n v="0"/>
    <n v="0"/>
    <n v="0"/>
    <n v="0"/>
    <n v="65"/>
    <n v="32"/>
    <n v="27"/>
    <n v="6"/>
    <n v="409"/>
    <n v="474"/>
    <n v="31"/>
    <n v="51"/>
    <n v="0"/>
    <x v="0"/>
    <n v="0"/>
    <n v="0"/>
    <n v="0"/>
    <n v="0"/>
    <n v="0"/>
    <n v="0"/>
    <n v="0"/>
    <n v="0"/>
    <n v="0"/>
    <n v="0"/>
    <n v="0"/>
    <n v="0"/>
    <n v="0"/>
    <n v="0"/>
    <n v="0"/>
    <n v="0"/>
    <n v="0"/>
    <n v="0"/>
    <n v="0"/>
    <n v="0"/>
    <n v="0"/>
    <n v="0"/>
    <n v="0"/>
    <n v="0"/>
    <n v="0"/>
    <n v="0"/>
    <n v="0"/>
    <n v="0"/>
    <n v="0"/>
    <n v="0"/>
  </r>
  <r>
    <x v="2"/>
    <s v="AAM-PHC/PHC"/>
    <x v="69"/>
    <s v="HIREBETTUR"/>
    <x v="0"/>
    <x v="12"/>
    <n v="0"/>
    <n v="0"/>
    <n v="0"/>
    <n v="0"/>
    <n v="0"/>
    <n v="124"/>
    <n v="27"/>
    <n v="27"/>
    <n v="3"/>
    <n v="0"/>
    <n v="0"/>
    <n v="0"/>
    <n v="220"/>
    <n v="0"/>
    <x v="0"/>
    <n v="0"/>
    <n v="0"/>
    <n v="11"/>
    <n v="4"/>
    <n v="0"/>
    <n v="0"/>
    <n v="0"/>
    <n v="0"/>
    <n v="0"/>
    <n v="0"/>
    <n v="74"/>
    <n v="0"/>
    <n v="0"/>
    <n v="0"/>
    <n v="0"/>
    <n v="0"/>
    <n v="0"/>
    <n v="0"/>
    <n v="1"/>
    <n v="0"/>
    <n v="1"/>
    <n v="0"/>
    <n v="0"/>
    <n v="0"/>
    <n v="0"/>
    <n v="0"/>
    <n v="0"/>
    <n v="0"/>
    <n v="0"/>
    <n v="0"/>
  </r>
  <r>
    <x v="2"/>
    <s v="AAM-PHC/PHC"/>
    <x v="72"/>
    <s v="HIRIADKA"/>
    <x v="0"/>
    <x v="12"/>
    <n v="0"/>
    <n v="0"/>
    <n v="0"/>
    <n v="0"/>
    <n v="0"/>
    <n v="94"/>
    <n v="23"/>
    <n v="23"/>
    <n v="4"/>
    <n v="0"/>
    <n v="0"/>
    <n v="0"/>
    <n v="54"/>
    <n v="0"/>
    <x v="0"/>
    <n v="0"/>
    <n v="0"/>
    <n v="78"/>
    <n v="28"/>
    <n v="0"/>
    <n v="0"/>
    <n v="0"/>
    <n v="0"/>
    <n v="0"/>
    <n v="0"/>
    <n v="24"/>
    <n v="0"/>
    <n v="0"/>
    <n v="0"/>
    <n v="0"/>
    <n v="0"/>
    <n v="0"/>
    <n v="0"/>
    <n v="0"/>
    <n v="0"/>
    <n v="0"/>
    <n v="0"/>
    <n v="0"/>
    <n v="0"/>
    <n v="0"/>
    <n v="0"/>
    <n v="0"/>
    <n v="0"/>
    <n v="0"/>
    <n v="0"/>
  </r>
  <r>
    <x v="2"/>
    <s v="AAM-PHC/PHC"/>
    <x v="71"/>
    <s v="KEMMAN"/>
    <x v="0"/>
    <x v="12"/>
    <n v="0"/>
    <n v="0"/>
    <n v="0"/>
    <n v="0"/>
    <n v="0"/>
    <n v="79"/>
    <n v="28"/>
    <n v="24"/>
    <n v="4"/>
    <n v="0"/>
    <n v="0"/>
    <n v="0"/>
    <n v="140"/>
    <n v="0"/>
    <x v="0"/>
    <n v="0"/>
    <n v="0"/>
    <n v="0"/>
    <n v="0"/>
    <n v="0"/>
    <n v="0"/>
    <n v="0"/>
    <n v="0"/>
    <n v="0"/>
    <n v="0"/>
    <n v="2"/>
    <n v="0"/>
    <n v="0"/>
    <n v="0"/>
    <n v="0"/>
    <n v="0"/>
    <n v="0"/>
    <n v="0"/>
    <n v="0"/>
    <n v="0"/>
    <n v="0"/>
    <n v="0"/>
    <n v="0"/>
    <n v="0"/>
    <n v="0"/>
    <n v="0"/>
    <n v="0"/>
    <n v="3"/>
    <n v="0"/>
    <n v="0"/>
  </r>
  <r>
    <x v="2"/>
    <s v="AAM-PHC/PHC"/>
    <x v="60"/>
    <s v="KODIBNGRE"/>
    <x v="0"/>
    <x v="12"/>
    <n v="0"/>
    <n v="0"/>
    <n v="0"/>
    <n v="0"/>
    <n v="0"/>
    <n v="15"/>
    <n v="1"/>
    <n v="1"/>
    <n v="2"/>
    <n v="0"/>
    <n v="0"/>
    <n v="0"/>
    <n v="0"/>
    <n v="0"/>
    <x v="0"/>
    <n v="0"/>
    <n v="0"/>
    <n v="0"/>
    <n v="0"/>
    <n v="0"/>
    <n v="0"/>
    <n v="0"/>
    <n v="0"/>
    <n v="0"/>
    <n v="0"/>
    <n v="25"/>
    <n v="0"/>
    <n v="0"/>
    <n v="0"/>
    <n v="0"/>
    <n v="0"/>
    <n v="0"/>
    <n v="0"/>
    <n v="0"/>
    <n v="0"/>
    <n v="0"/>
    <n v="0"/>
    <n v="0"/>
    <n v="0"/>
    <n v="0"/>
    <n v="0"/>
    <n v="0"/>
    <n v="0"/>
    <n v="0"/>
    <n v="0"/>
  </r>
  <r>
    <x v="2"/>
    <s v="AAM-PHC/PHC"/>
    <x v="62"/>
    <s v="KUKKEHALI"/>
    <x v="0"/>
    <x v="12"/>
    <n v="0"/>
    <n v="0"/>
    <n v="0"/>
    <n v="0"/>
    <n v="0"/>
    <n v="149"/>
    <n v="33"/>
    <n v="30"/>
    <n v="6"/>
    <n v="8"/>
    <n v="7"/>
    <n v="10"/>
    <n v="133"/>
    <n v="0"/>
    <x v="0"/>
    <n v="0"/>
    <n v="0"/>
    <n v="61"/>
    <n v="26"/>
    <n v="1"/>
    <n v="1"/>
    <n v="13"/>
    <n v="0"/>
    <n v="0"/>
    <n v="0"/>
    <n v="19"/>
    <n v="0"/>
    <n v="0"/>
    <n v="0"/>
    <n v="0"/>
    <n v="0"/>
    <n v="0"/>
    <n v="0"/>
    <n v="1"/>
    <n v="0"/>
    <n v="0"/>
    <n v="0"/>
    <n v="0"/>
    <n v="0"/>
    <n v="0"/>
    <n v="0"/>
    <n v="0"/>
    <n v="0"/>
    <n v="0"/>
    <n v="0"/>
  </r>
  <r>
    <x v="2"/>
    <s v="AAM-PHC/PHC"/>
    <x v="73"/>
    <s v="MALPE"/>
    <x v="0"/>
    <x v="12"/>
    <n v="0"/>
    <n v="0"/>
    <n v="0"/>
    <n v="0"/>
    <n v="0"/>
    <n v="141"/>
    <n v="37"/>
    <n v="49"/>
    <n v="14"/>
    <n v="0"/>
    <n v="0"/>
    <n v="28"/>
    <n v="231"/>
    <n v="0"/>
    <x v="0"/>
    <n v="0"/>
    <n v="0"/>
    <n v="0"/>
    <n v="0"/>
    <n v="0"/>
    <n v="0"/>
    <n v="0"/>
    <n v="0"/>
    <n v="0"/>
    <n v="0"/>
    <n v="0"/>
    <n v="0"/>
    <n v="0"/>
    <n v="0"/>
    <n v="0"/>
    <n v="0"/>
    <n v="0"/>
    <n v="0"/>
    <n v="0"/>
    <n v="0"/>
    <n v="0"/>
    <n v="0"/>
    <n v="0"/>
    <n v="0"/>
    <n v="0"/>
    <n v="0"/>
    <n v="0"/>
    <n v="0"/>
    <n v="0"/>
    <n v="0"/>
  </r>
  <r>
    <x v="2"/>
    <s v="AAM-PHC/PHC"/>
    <x v="59"/>
    <s v="MANDARTHI"/>
    <x v="0"/>
    <x v="12"/>
    <n v="0"/>
    <n v="0"/>
    <n v="0"/>
    <n v="0"/>
    <n v="0"/>
    <n v="319"/>
    <n v="35"/>
    <n v="40"/>
    <n v="5"/>
    <n v="61"/>
    <n v="61"/>
    <n v="49"/>
    <n v="70"/>
    <n v="0"/>
    <x v="0"/>
    <n v="0"/>
    <n v="0"/>
    <n v="44"/>
    <n v="48"/>
    <n v="1"/>
    <n v="0"/>
    <n v="6"/>
    <n v="3"/>
    <n v="0"/>
    <n v="0"/>
    <n v="74"/>
    <n v="0"/>
    <n v="0"/>
    <n v="0"/>
    <n v="0"/>
    <n v="0"/>
    <n v="0"/>
    <n v="0"/>
    <n v="0"/>
    <n v="0"/>
    <n v="0"/>
    <n v="0"/>
    <n v="0"/>
    <n v="0"/>
    <n v="0"/>
    <n v="0"/>
    <n v="0"/>
    <n v="0"/>
    <n v="1"/>
    <n v="0"/>
  </r>
  <r>
    <x v="2"/>
    <s v="AAM-PHC/PHC"/>
    <x v="70"/>
    <s v="MANIPUR"/>
    <x v="0"/>
    <x v="12"/>
    <n v="0"/>
    <n v="0"/>
    <n v="0"/>
    <n v="0"/>
    <n v="0"/>
    <n v="4"/>
    <n v="0"/>
    <n v="4"/>
    <n v="0"/>
    <n v="8"/>
    <n v="3"/>
    <n v="0"/>
    <n v="34"/>
    <n v="0"/>
    <x v="0"/>
    <n v="0"/>
    <n v="0"/>
    <n v="120"/>
    <n v="34"/>
    <n v="0"/>
    <n v="0"/>
    <n v="0"/>
    <n v="0"/>
    <n v="0"/>
    <n v="0"/>
    <n v="101"/>
    <n v="0"/>
    <n v="0"/>
    <n v="0"/>
    <n v="0"/>
    <n v="0"/>
    <n v="0"/>
    <n v="0"/>
    <n v="0"/>
    <n v="0"/>
    <n v="0"/>
    <n v="0"/>
    <n v="0"/>
    <n v="0"/>
    <n v="0"/>
    <n v="0"/>
    <n v="0"/>
    <n v="0"/>
    <n v="0"/>
    <n v="0"/>
  </r>
  <r>
    <x v="2"/>
    <s v="AAM-PHC/PHC"/>
    <x v="67"/>
    <s v="PERNANKILA"/>
    <x v="0"/>
    <x v="12"/>
    <n v="0"/>
    <n v="0"/>
    <n v="0"/>
    <n v="0"/>
    <n v="0"/>
    <n v="140"/>
    <n v="50"/>
    <n v="24"/>
    <n v="2"/>
    <n v="37"/>
    <n v="37"/>
    <n v="38"/>
    <n v="34"/>
    <n v="0"/>
    <x v="0"/>
    <n v="0"/>
    <n v="0"/>
    <n v="11"/>
    <n v="2"/>
    <n v="0"/>
    <n v="0"/>
    <n v="0"/>
    <n v="0"/>
    <n v="0"/>
    <n v="0"/>
    <n v="37"/>
    <n v="0"/>
    <n v="0"/>
    <n v="0"/>
    <n v="0"/>
    <n v="0"/>
    <n v="0"/>
    <n v="0"/>
    <n v="0"/>
    <n v="0"/>
    <n v="0"/>
    <n v="0"/>
    <n v="0"/>
    <n v="0"/>
    <n v="0"/>
    <n v="0"/>
    <n v="0"/>
    <n v="0"/>
    <n v="0"/>
    <n v="0"/>
  </r>
  <r>
    <x v="2"/>
    <s v="AAM-PHC/PHC"/>
    <x v="49"/>
    <s v="SAIBRAKATTE"/>
    <x v="0"/>
    <x v="12"/>
    <n v="0"/>
    <n v="0"/>
    <n v="0"/>
    <n v="0"/>
    <n v="0"/>
    <n v="66"/>
    <n v="34"/>
    <n v="23"/>
    <n v="5"/>
    <n v="27"/>
    <n v="27"/>
    <n v="119"/>
    <n v="134"/>
    <n v="0"/>
    <x v="0"/>
    <n v="0"/>
    <n v="0"/>
    <n v="135"/>
    <n v="34"/>
    <n v="0"/>
    <n v="0"/>
    <n v="15"/>
    <n v="0"/>
    <n v="0"/>
    <n v="0"/>
    <n v="73"/>
    <n v="0"/>
    <n v="0"/>
    <n v="0"/>
    <n v="0"/>
    <n v="0"/>
    <n v="0"/>
    <n v="0"/>
    <n v="0"/>
    <n v="0"/>
    <n v="0"/>
    <n v="0"/>
    <n v="0"/>
    <n v="0"/>
    <n v="0"/>
    <n v="0"/>
    <n v="0"/>
    <n v="0"/>
    <n v="0"/>
    <n v="0"/>
  </r>
  <r>
    <x v="2"/>
    <s v="AAM-PHC/PHC"/>
    <x v="54"/>
    <s v="SALIGRAMA"/>
    <x v="0"/>
    <x v="12"/>
    <n v="0"/>
    <n v="0"/>
    <n v="0"/>
    <n v="0"/>
    <n v="0"/>
    <n v="139"/>
    <n v="37"/>
    <n v="31"/>
    <n v="3"/>
    <n v="108"/>
    <n v="108"/>
    <n v="79"/>
    <n v="105"/>
    <n v="0"/>
    <x v="0"/>
    <n v="0"/>
    <n v="0"/>
    <n v="37"/>
    <n v="12"/>
    <n v="0"/>
    <n v="0"/>
    <n v="0"/>
    <n v="0"/>
    <n v="0"/>
    <n v="0"/>
    <n v="94"/>
    <n v="0"/>
    <n v="0"/>
    <n v="0"/>
    <n v="0"/>
    <n v="0"/>
    <n v="0"/>
    <n v="0"/>
    <n v="0"/>
    <n v="0"/>
    <n v="0"/>
    <n v="0"/>
    <n v="0"/>
    <n v="0"/>
    <n v="0"/>
    <n v="0"/>
    <n v="29"/>
    <n v="0"/>
    <n v="0"/>
    <n v="0"/>
  </r>
  <r>
    <x v="2"/>
    <s v="AAM-PHC/PHC"/>
    <x v="57"/>
    <s v="SASTANA"/>
    <x v="0"/>
    <x v="12"/>
    <n v="0"/>
    <n v="0"/>
    <n v="0"/>
    <n v="0"/>
    <n v="0"/>
    <n v="162"/>
    <n v="15"/>
    <n v="20"/>
    <n v="2"/>
    <n v="21"/>
    <n v="21"/>
    <n v="10"/>
    <n v="63"/>
    <n v="0"/>
    <x v="0"/>
    <n v="2"/>
    <n v="0"/>
    <n v="0"/>
    <n v="1"/>
    <n v="0"/>
    <n v="0"/>
    <n v="3"/>
    <n v="0"/>
    <n v="0"/>
    <n v="0"/>
    <n v="42"/>
    <n v="0"/>
    <n v="0"/>
    <n v="0"/>
    <n v="0"/>
    <n v="0"/>
    <n v="4"/>
    <n v="0"/>
    <n v="0"/>
    <n v="0"/>
    <n v="0"/>
    <n v="0"/>
    <n v="0"/>
    <n v="0"/>
    <n v="0"/>
    <n v="0"/>
    <n v="12"/>
    <n v="9"/>
    <n v="0"/>
    <n v="0"/>
  </r>
  <r>
    <x v="2"/>
    <s v="AAM-SC/SC"/>
    <x v="75"/>
    <s v="76 BADAGABETTU"/>
    <x v="0"/>
    <x v="74"/>
    <n v="0"/>
    <n v="0"/>
    <n v="84"/>
    <n v="0"/>
    <n v="75"/>
    <n v="563"/>
    <n v="0"/>
    <n v="0"/>
    <n v="0"/>
    <n v="67"/>
    <n v="20"/>
    <n v="73"/>
    <n v="83"/>
    <n v="0"/>
    <x v="0"/>
    <n v="0"/>
    <n v="0"/>
    <n v="0"/>
    <n v="0"/>
    <n v="0"/>
    <n v="0"/>
    <n v="0"/>
    <n v="0"/>
    <n v="0"/>
    <n v="0"/>
    <n v="0"/>
    <n v="0"/>
    <n v="0"/>
    <n v="0"/>
    <n v="0"/>
    <n v="0"/>
    <n v="0"/>
    <n v="0"/>
    <n v="0"/>
    <n v="0"/>
    <n v="0"/>
    <n v="0"/>
    <n v="0"/>
    <n v="0"/>
    <n v="0"/>
    <n v="0"/>
    <n v="0"/>
    <n v="0"/>
    <n v="0"/>
    <n v="0"/>
  </r>
  <r>
    <x v="2"/>
    <s v="AAM-SC/SC"/>
    <x v="76"/>
    <s v="Aadi Udupi"/>
    <x v="0"/>
    <x v="75"/>
    <n v="0"/>
    <n v="0"/>
    <n v="75"/>
    <n v="0"/>
    <n v="72"/>
    <n v="345"/>
    <n v="0"/>
    <n v="2"/>
    <n v="0"/>
    <n v="36"/>
    <n v="36"/>
    <n v="2"/>
    <n v="0"/>
    <n v="0"/>
    <x v="0"/>
    <n v="0"/>
    <n v="0"/>
    <n v="0"/>
    <n v="0"/>
    <n v="0"/>
    <n v="0"/>
    <n v="0"/>
    <n v="0"/>
    <n v="0"/>
    <n v="0"/>
    <n v="0"/>
    <n v="0"/>
    <n v="0"/>
    <n v="0"/>
    <n v="0"/>
    <n v="0"/>
    <n v="0"/>
    <n v="0"/>
    <n v="0"/>
    <n v="0"/>
    <n v="0"/>
    <n v="0"/>
    <n v="0"/>
    <n v="0"/>
    <n v="0"/>
    <n v="0"/>
    <n v="0"/>
    <n v="0"/>
    <n v="0"/>
    <n v="0"/>
  </r>
  <r>
    <x v="2"/>
    <s v="AAM-SC/SC"/>
    <x v="76"/>
    <s v="AMBALAPADI"/>
    <x v="0"/>
    <x v="76"/>
    <n v="0"/>
    <n v="0"/>
    <n v="62"/>
    <n v="0"/>
    <n v="62"/>
    <n v="362"/>
    <n v="1"/>
    <n v="1"/>
    <n v="1"/>
    <n v="65"/>
    <n v="65"/>
    <n v="10"/>
    <n v="0"/>
    <n v="0"/>
    <x v="0"/>
    <n v="0"/>
    <n v="0"/>
    <n v="0"/>
    <n v="0"/>
    <n v="0"/>
    <n v="0"/>
    <n v="0"/>
    <n v="0"/>
    <n v="0"/>
    <n v="0"/>
    <n v="0"/>
    <n v="0"/>
    <n v="0"/>
    <n v="0"/>
    <n v="0"/>
    <n v="0"/>
    <n v="0"/>
    <n v="0"/>
    <n v="0"/>
    <n v="0"/>
    <n v="0"/>
    <n v="0"/>
    <n v="0"/>
    <n v="0"/>
    <n v="0"/>
    <n v="0"/>
    <n v="0"/>
    <n v="0"/>
    <n v="0"/>
    <n v="0"/>
  </r>
  <r>
    <x v="2"/>
    <s v="AAM-SC/SC"/>
    <x v="75"/>
    <s v="Bailur"/>
    <x v="0"/>
    <x v="77"/>
    <n v="0"/>
    <n v="0"/>
    <n v="89"/>
    <n v="0"/>
    <n v="89"/>
    <n v="477"/>
    <n v="2"/>
    <n v="3"/>
    <n v="0"/>
    <n v="68"/>
    <n v="21"/>
    <n v="65"/>
    <n v="83"/>
    <n v="0"/>
    <x v="0"/>
    <n v="0"/>
    <n v="0"/>
    <n v="0"/>
    <n v="0"/>
    <n v="0"/>
    <n v="0"/>
    <n v="0"/>
    <n v="0"/>
    <n v="0"/>
    <n v="0"/>
    <n v="0"/>
    <n v="0"/>
    <n v="0"/>
    <n v="0"/>
    <n v="0"/>
    <n v="0"/>
    <n v="0"/>
    <n v="0"/>
    <n v="0"/>
    <n v="0"/>
    <n v="0"/>
    <n v="0"/>
    <n v="0"/>
    <n v="0"/>
    <n v="0"/>
    <n v="0"/>
    <n v="0"/>
    <n v="0"/>
    <n v="0"/>
    <n v="0"/>
  </r>
  <r>
    <x v="2"/>
    <s v="AAM-SC/SC"/>
    <x v="76"/>
    <s v="Gopalpura"/>
    <x v="0"/>
    <x v="78"/>
    <n v="0"/>
    <n v="0"/>
    <n v="90"/>
    <n v="0"/>
    <n v="90"/>
    <n v="498"/>
    <n v="9"/>
    <n v="6"/>
    <n v="0"/>
    <n v="68"/>
    <n v="68"/>
    <n v="0"/>
    <n v="0"/>
    <n v="0"/>
    <x v="0"/>
    <n v="0"/>
    <n v="0"/>
    <n v="0"/>
    <n v="0"/>
    <n v="0"/>
    <n v="0"/>
    <n v="0"/>
    <n v="0"/>
    <n v="0"/>
    <n v="0"/>
    <n v="0"/>
    <n v="0"/>
    <n v="0"/>
    <n v="0"/>
    <n v="0"/>
    <n v="0"/>
    <n v="0"/>
    <n v="0"/>
    <n v="0"/>
    <n v="0"/>
    <n v="0"/>
    <n v="0"/>
    <n v="0"/>
    <n v="0"/>
    <n v="0"/>
    <n v="0"/>
    <n v="0"/>
    <n v="0"/>
    <n v="0"/>
    <n v="0"/>
  </r>
  <r>
    <x v="2"/>
    <s v="AAM-SC/SC"/>
    <x v="75"/>
    <s v="Indiranagara"/>
    <x v="0"/>
    <x v="79"/>
    <n v="0"/>
    <n v="0"/>
    <n v="70"/>
    <n v="0"/>
    <n v="70"/>
    <n v="423"/>
    <n v="0"/>
    <n v="0"/>
    <n v="0"/>
    <n v="56"/>
    <n v="14"/>
    <n v="57"/>
    <n v="72"/>
    <n v="0"/>
    <x v="0"/>
    <n v="0"/>
    <n v="0"/>
    <n v="0"/>
    <n v="0"/>
    <n v="0"/>
    <n v="0"/>
    <n v="0"/>
    <n v="0"/>
    <n v="0"/>
    <n v="0"/>
    <n v="0"/>
    <n v="0"/>
    <n v="0"/>
    <n v="0"/>
    <n v="0"/>
    <n v="0"/>
    <n v="0"/>
    <n v="0"/>
    <n v="0"/>
    <n v="0"/>
    <n v="0"/>
    <n v="0"/>
    <n v="0"/>
    <n v="0"/>
    <n v="0"/>
    <n v="0"/>
    <n v="0"/>
    <n v="0"/>
    <n v="0"/>
    <n v="0"/>
  </r>
  <r>
    <x v="2"/>
    <s v="AAM-SC/SC"/>
    <x v="74"/>
    <s v="Indrali"/>
    <x v="0"/>
    <x v="24"/>
    <n v="0"/>
    <n v="0"/>
    <n v="39"/>
    <n v="0"/>
    <n v="39"/>
    <n v="193"/>
    <n v="0"/>
    <n v="2"/>
    <n v="0"/>
    <n v="38"/>
    <n v="38"/>
    <n v="33"/>
    <n v="15"/>
    <n v="0"/>
    <x v="0"/>
    <n v="0"/>
    <n v="0"/>
    <n v="0"/>
    <n v="0"/>
    <n v="0"/>
    <n v="0"/>
    <n v="0"/>
    <n v="0"/>
    <n v="0"/>
    <n v="0"/>
    <n v="0"/>
    <n v="0"/>
    <n v="0"/>
    <n v="0"/>
    <n v="0"/>
    <n v="0"/>
    <n v="0"/>
    <n v="0"/>
    <n v="0"/>
    <n v="0"/>
    <n v="0"/>
    <n v="0"/>
    <n v="0"/>
    <n v="0"/>
    <n v="0"/>
    <n v="0"/>
    <n v="0"/>
    <n v="0"/>
    <n v="0"/>
    <n v="0"/>
  </r>
  <r>
    <x v="2"/>
    <s v="AAM-SC/SC"/>
    <x v="74"/>
    <s v="Kakkunje"/>
    <x v="0"/>
    <x v="36"/>
    <n v="0"/>
    <n v="0"/>
    <n v="83"/>
    <n v="0"/>
    <n v="83"/>
    <n v="494"/>
    <n v="7"/>
    <n v="0"/>
    <n v="0"/>
    <n v="83"/>
    <n v="83"/>
    <n v="79"/>
    <n v="97"/>
    <n v="0"/>
    <x v="0"/>
    <n v="0"/>
    <n v="0"/>
    <n v="0"/>
    <n v="0"/>
    <n v="0"/>
    <n v="0"/>
    <n v="0"/>
    <n v="0"/>
    <n v="0"/>
    <n v="0"/>
    <n v="0"/>
    <n v="0"/>
    <n v="0"/>
    <n v="0"/>
    <n v="0"/>
    <n v="0"/>
    <n v="0"/>
    <n v="0"/>
    <n v="0"/>
    <n v="0"/>
    <n v="0"/>
    <n v="0"/>
    <n v="0"/>
    <n v="0"/>
    <n v="0"/>
    <n v="0"/>
    <n v="0"/>
    <n v="0"/>
    <n v="0"/>
    <n v="0"/>
  </r>
  <r>
    <x v="2"/>
    <s v="AAM-SC/SC"/>
    <x v="76"/>
    <s v="Kinnimulky"/>
    <x v="0"/>
    <x v="80"/>
    <n v="0"/>
    <n v="0"/>
    <n v="93"/>
    <n v="0"/>
    <n v="93"/>
    <n v="478"/>
    <n v="0"/>
    <n v="0"/>
    <n v="0"/>
    <n v="69"/>
    <n v="69"/>
    <n v="4"/>
    <n v="9"/>
    <n v="0"/>
    <x v="0"/>
    <n v="0"/>
    <n v="0"/>
    <n v="0"/>
    <n v="0"/>
    <n v="0"/>
    <n v="0"/>
    <n v="0"/>
    <n v="0"/>
    <n v="0"/>
    <n v="0"/>
    <n v="0"/>
    <n v="0"/>
    <n v="0"/>
    <n v="0"/>
    <n v="0"/>
    <n v="0"/>
    <n v="0"/>
    <n v="0"/>
    <n v="0"/>
    <n v="0"/>
    <n v="0"/>
    <n v="0"/>
    <n v="0"/>
    <n v="0"/>
    <n v="0"/>
    <n v="0"/>
    <n v="0"/>
    <n v="0"/>
    <n v="0"/>
    <n v="0"/>
  </r>
  <r>
    <x v="2"/>
    <s v="AAM-SC/SC"/>
    <x v="76"/>
    <s v="Kodankoor"/>
    <x v="0"/>
    <x v="41"/>
    <n v="0"/>
    <n v="0"/>
    <n v="46"/>
    <n v="0"/>
    <n v="48"/>
    <n v="205"/>
    <n v="5"/>
    <n v="3"/>
    <n v="2"/>
    <n v="34"/>
    <n v="34"/>
    <n v="3"/>
    <n v="7"/>
    <n v="0"/>
    <x v="0"/>
    <n v="0"/>
    <n v="0"/>
    <n v="0"/>
    <n v="0"/>
    <n v="0"/>
    <n v="0"/>
    <n v="0"/>
    <n v="0"/>
    <n v="0"/>
    <n v="0"/>
    <n v="0"/>
    <n v="0"/>
    <n v="0"/>
    <n v="0"/>
    <n v="0"/>
    <n v="0"/>
    <n v="0"/>
    <n v="0"/>
    <n v="0"/>
    <n v="0"/>
    <n v="0"/>
    <n v="0"/>
    <n v="0"/>
    <n v="0"/>
    <n v="0"/>
    <n v="0"/>
    <n v="0"/>
    <n v="0"/>
    <n v="0"/>
    <n v="0"/>
  </r>
  <r>
    <x v="2"/>
    <s v="AAM-SC/SC"/>
    <x v="74"/>
    <s v="KUNJIBETTU"/>
    <x v="0"/>
    <x v="43"/>
    <n v="0"/>
    <n v="0"/>
    <n v="56"/>
    <n v="0"/>
    <n v="57"/>
    <n v="322"/>
    <n v="1"/>
    <n v="1"/>
    <n v="1"/>
    <n v="57"/>
    <n v="56"/>
    <n v="54"/>
    <n v="48"/>
    <n v="0"/>
    <x v="0"/>
    <n v="0"/>
    <n v="0"/>
    <n v="0"/>
    <n v="0"/>
    <n v="0"/>
    <n v="0"/>
    <n v="0"/>
    <n v="0"/>
    <n v="0"/>
    <n v="0"/>
    <n v="0"/>
    <n v="0"/>
    <n v="0"/>
    <n v="0"/>
    <n v="0"/>
    <n v="0"/>
    <n v="0"/>
    <n v="0"/>
    <n v="0"/>
    <n v="0"/>
    <n v="0"/>
    <n v="0"/>
    <n v="0"/>
    <n v="0"/>
    <n v="0"/>
    <n v="0"/>
    <n v="0"/>
    <n v="0"/>
    <n v="0"/>
    <n v="0"/>
  </r>
  <r>
    <x v="2"/>
    <s v="AAM-SC/SC"/>
    <x v="74"/>
    <s v="Manipal"/>
    <x v="0"/>
    <x v="69"/>
    <n v="0"/>
    <n v="0"/>
    <n v="54"/>
    <n v="0"/>
    <n v="50"/>
    <n v="307"/>
    <n v="1"/>
    <n v="9"/>
    <n v="0"/>
    <n v="51"/>
    <n v="31"/>
    <n v="48"/>
    <n v="19"/>
    <n v="0"/>
    <x v="0"/>
    <n v="0"/>
    <n v="0"/>
    <n v="0"/>
    <n v="0"/>
    <n v="0"/>
    <n v="0"/>
    <n v="0"/>
    <n v="0"/>
    <n v="0"/>
    <n v="0"/>
    <n v="0"/>
    <n v="0"/>
    <n v="0"/>
    <n v="0"/>
    <n v="0"/>
    <n v="0"/>
    <n v="0"/>
    <n v="0"/>
    <n v="0"/>
    <n v="0"/>
    <n v="0"/>
    <n v="0"/>
    <n v="0"/>
    <n v="0"/>
    <n v="0"/>
    <n v="0"/>
    <n v="0"/>
    <n v="0"/>
    <n v="0"/>
    <n v="0"/>
  </r>
  <r>
    <x v="2"/>
    <s v="AAM-SC/SC"/>
    <x v="74"/>
    <s v="MOODUPERAMPALLI"/>
    <x v="0"/>
    <x v="42"/>
    <n v="0"/>
    <n v="0"/>
    <n v="32"/>
    <n v="0"/>
    <n v="32"/>
    <n v="184"/>
    <n v="2"/>
    <n v="2"/>
    <n v="0"/>
    <n v="26"/>
    <n v="26"/>
    <n v="24"/>
    <n v="27"/>
    <n v="0"/>
    <x v="0"/>
    <n v="0"/>
    <n v="0"/>
    <n v="0"/>
    <n v="0"/>
    <n v="0"/>
    <n v="0"/>
    <n v="0"/>
    <n v="0"/>
    <n v="0"/>
    <n v="0"/>
    <n v="0"/>
    <n v="0"/>
    <n v="0"/>
    <n v="0"/>
    <n v="0"/>
    <n v="0"/>
    <n v="0"/>
    <n v="0"/>
    <n v="0"/>
    <n v="0"/>
    <n v="0"/>
    <n v="0"/>
    <n v="0"/>
    <n v="0"/>
    <n v="0"/>
    <n v="0"/>
    <n v="0"/>
    <n v="0"/>
    <n v="0"/>
    <n v="0"/>
  </r>
  <r>
    <x v="2"/>
    <s v="AAM-SC/SC"/>
    <x v="77"/>
    <s v="Namma Clinic Beedanagudde"/>
    <x v="0"/>
    <x v="12"/>
    <n v="0"/>
    <n v="0"/>
    <n v="0"/>
    <n v="0"/>
    <n v="0"/>
    <n v="41"/>
    <n v="4"/>
    <n v="3"/>
    <n v="2"/>
    <n v="0"/>
    <n v="0"/>
    <n v="0"/>
    <n v="0"/>
    <n v="0"/>
    <x v="0"/>
    <n v="0"/>
    <n v="0"/>
    <n v="0"/>
    <n v="1"/>
    <n v="0"/>
    <n v="0"/>
    <n v="0"/>
    <n v="0"/>
    <n v="0"/>
    <n v="0"/>
    <n v="0"/>
    <n v="0"/>
    <n v="0"/>
    <n v="0"/>
    <n v="0"/>
    <n v="0"/>
    <n v="0"/>
    <n v="0"/>
    <n v="0"/>
    <n v="0"/>
    <n v="0"/>
    <n v="0"/>
    <n v="0"/>
    <n v="0"/>
    <n v="0"/>
    <n v="0"/>
    <n v="0"/>
    <n v="3"/>
    <n v="0"/>
    <n v="0"/>
  </r>
  <r>
    <x v="2"/>
    <s v="AAM-SC/SC"/>
    <x v="78"/>
    <s v="Namma Clinic Kakkunje"/>
    <x v="0"/>
    <x v="12"/>
    <n v="0"/>
    <n v="0"/>
    <n v="0"/>
    <n v="0"/>
    <n v="0"/>
    <n v="13"/>
    <n v="4"/>
    <n v="7"/>
    <n v="1"/>
    <n v="0"/>
    <n v="0"/>
    <n v="0"/>
    <n v="0"/>
    <n v="0"/>
    <x v="0"/>
    <n v="0"/>
    <n v="0"/>
    <n v="0"/>
    <n v="0"/>
    <n v="0"/>
    <n v="0"/>
    <n v="0"/>
    <n v="0"/>
    <n v="0"/>
    <n v="0"/>
    <n v="0"/>
    <n v="0"/>
    <n v="0"/>
    <n v="0"/>
    <n v="0"/>
    <n v="0"/>
    <n v="0"/>
    <n v="0"/>
    <n v="0"/>
    <n v="0"/>
    <n v="0"/>
    <n v="0"/>
    <n v="0"/>
    <n v="0"/>
    <n v="0"/>
    <n v="0"/>
    <n v="0"/>
    <n v="0"/>
    <n v="0"/>
    <n v="0"/>
  </r>
  <r>
    <x v="2"/>
    <s v="AAM-SC/SC"/>
    <x v="79"/>
    <s v="Namma Clinic Nittur"/>
    <x v="0"/>
    <x v="12"/>
    <n v="0"/>
    <n v="0"/>
    <n v="0"/>
    <n v="0"/>
    <n v="0"/>
    <n v="23"/>
    <n v="4"/>
    <n v="6"/>
    <n v="2"/>
    <n v="2"/>
    <n v="2"/>
    <n v="0"/>
    <n v="0"/>
    <n v="0"/>
    <x v="0"/>
    <n v="0"/>
    <n v="0"/>
    <n v="0"/>
    <n v="0"/>
    <n v="0"/>
    <n v="0"/>
    <n v="0"/>
    <n v="0"/>
    <n v="0"/>
    <n v="0"/>
    <n v="0"/>
    <n v="0"/>
    <n v="0"/>
    <n v="0"/>
    <n v="0"/>
    <n v="0"/>
    <n v="0"/>
    <n v="0"/>
    <n v="0"/>
    <n v="0"/>
    <n v="0"/>
    <n v="0"/>
    <n v="0"/>
    <n v="0"/>
    <n v="0"/>
    <n v="0"/>
    <n v="0"/>
    <n v="0"/>
    <n v="0"/>
    <n v="0"/>
  </r>
  <r>
    <x v="2"/>
    <s v="AAM-SC/SC"/>
    <x v="76"/>
    <s v="Nittur"/>
    <x v="0"/>
    <x v="38"/>
    <n v="0"/>
    <n v="0"/>
    <n v="44"/>
    <n v="0"/>
    <n v="44"/>
    <n v="248"/>
    <n v="1"/>
    <n v="0"/>
    <n v="1"/>
    <n v="33"/>
    <n v="33"/>
    <n v="0"/>
    <n v="0"/>
    <n v="0"/>
    <x v="0"/>
    <n v="0"/>
    <n v="0"/>
    <n v="0"/>
    <n v="0"/>
    <n v="0"/>
    <n v="0"/>
    <n v="0"/>
    <n v="0"/>
    <n v="0"/>
    <n v="0"/>
    <n v="0"/>
    <n v="0"/>
    <n v="0"/>
    <n v="0"/>
    <n v="0"/>
    <n v="0"/>
    <n v="0"/>
    <n v="0"/>
    <n v="0"/>
    <n v="0"/>
    <n v="0"/>
    <n v="0"/>
    <n v="0"/>
    <n v="0"/>
    <n v="0"/>
    <n v="0"/>
    <n v="0"/>
    <n v="0"/>
    <n v="0"/>
    <n v="0"/>
  </r>
  <r>
    <x v="2"/>
    <s v="AAM-SC/SC"/>
    <x v="76"/>
    <s v="Olakadu"/>
    <x v="0"/>
    <x v="81"/>
    <n v="0"/>
    <n v="0"/>
    <n v="77"/>
    <n v="0"/>
    <n v="77"/>
    <n v="410"/>
    <n v="3"/>
    <n v="2"/>
    <n v="1"/>
    <n v="66"/>
    <n v="66"/>
    <n v="3"/>
    <n v="7"/>
    <n v="0"/>
    <x v="0"/>
    <n v="0"/>
    <n v="0"/>
    <n v="0"/>
    <n v="0"/>
    <n v="0"/>
    <n v="0"/>
    <n v="0"/>
    <n v="0"/>
    <n v="0"/>
    <n v="0"/>
    <n v="0"/>
    <n v="0"/>
    <n v="0"/>
    <n v="0"/>
    <n v="0"/>
    <n v="0"/>
    <n v="0"/>
    <n v="0"/>
    <n v="0"/>
    <n v="0"/>
    <n v="0"/>
    <n v="0"/>
    <n v="0"/>
    <n v="0"/>
    <n v="0"/>
    <n v="0"/>
    <n v="0"/>
    <n v="0"/>
    <n v="0"/>
    <n v="0"/>
  </r>
  <r>
    <x v="2"/>
    <s v="AAM-SC/SC"/>
    <x v="74"/>
    <s v="Sagri"/>
    <x v="0"/>
    <x v="68"/>
    <n v="0"/>
    <n v="0"/>
    <n v="65"/>
    <n v="0"/>
    <n v="65"/>
    <n v="394"/>
    <n v="6"/>
    <n v="0"/>
    <n v="0"/>
    <n v="56"/>
    <n v="9"/>
    <n v="43"/>
    <n v="60"/>
    <n v="0"/>
    <x v="0"/>
    <n v="0"/>
    <n v="0"/>
    <n v="0"/>
    <n v="0"/>
    <n v="0"/>
    <n v="0"/>
    <n v="0"/>
    <n v="0"/>
    <n v="0"/>
    <n v="0"/>
    <n v="0"/>
    <n v="0"/>
    <n v="0"/>
    <n v="0"/>
    <n v="0"/>
    <n v="0"/>
    <n v="0"/>
    <n v="0"/>
    <n v="0"/>
    <n v="0"/>
    <n v="0"/>
    <n v="0"/>
    <n v="0"/>
    <n v="0"/>
    <n v="0"/>
    <n v="0"/>
    <n v="0"/>
    <n v="0"/>
    <n v="0"/>
    <n v="0"/>
  </r>
  <r>
    <x v="2"/>
    <s v="AAM-SC/SC"/>
    <x v="76"/>
    <s v="Shiribeedu"/>
    <x v="0"/>
    <x v="66"/>
    <n v="0"/>
    <n v="0"/>
    <n v="63"/>
    <n v="0"/>
    <n v="63"/>
    <n v="299"/>
    <n v="0"/>
    <n v="0"/>
    <n v="0"/>
    <n v="45"/>
    <n v="45"/>
    <n v="1"/>
    <n v="10"/>
    <n v="0"/>
    <x v="0"/>
    <n v="0"/>
    <n v="0"/>
    <n v="0"/>
    <n v="0"/>
    <n v="0"/>
    <n v="0"/>
    <n v="0"/>
    <n v="0"/>
    <n v="0"/>
    <n v="0"/>
    <n v="0"/>
    <n v="0"/>
    <n v="0"/>
    <n v="0"/>
    <n v="0"/>
    <n v="0"/>
    <n v="0"/>
    <n v="0"/>
    <n v="0"/>
    <n v="0"/>
    <n v="0"/>
    <n v="0"/>
    <n v="0"/>
    <n v="0"/>
    <n v="0"/>
    <n v="0"/>
    <n v="0"/>
    <n v="0"/>
    <n v="0"/>
    <n v="0"/>
  </r>
  <r>
    <x v="2"/>
    <s v="AAM-PHC/PHC"/>
    <x v="80"/>
    <s v="ARUNA CLINIC UDUPI PVT HOSPITAL"/>
    <x v="1"/>
    <x v="12"/>
    <n v="0"/>
    <n v="0"/>
    <n v="0"/>
    <n v="0"/>
    <n v="0"/>
    <n v="0"/>
    <n v="0"/>
    <n v="0"/>
    <n v="0"/>
    <n v="0"/>
    <n v="0"/>
    <n v="0"/>
    <n v="0"/>
    <n v="0"/>
    <x v="0"/>
    <n v="0"/>
    <n v="0"/>
    <n v="0"/>
    <n v="0"/>
    <n v="0"/>
    <n v="0"/>
    <n v="0"/>
    <n v="0"/>
    <n v="0"/>
    <n v="0"/>
    <n v="0"/>
    <n v="0"/>
    <n v="0"/>
    <n v="0"/>
    <n v="0"/>
    <n v="0"/>
    <n v="0"/>
    <n v="0"/>
    <n v="0"/>
    <n v="0"/>
    <n v="0"/>
    <n v="0"/>
    <n v="0"/>
    <n v="0"/>
    <n v="0"/>
    <n v="0"/>
    <n v="0"/>
    <n v="0"/>
    <n v="0"/>
    <n v="0"/>
  </r>
  <r>
    <x v="2"/>
    <s v="AAM-PHC/PHC"/>
    <x v="80"/>
    <s v="GAYATHRI CLINIC UDUPI PVT HOSPITAL"/>
    <x v="1"/>
    <x v="12"/>
    <n v="0"/>
    <n v="0"/>
    <n v="0"/>
    <n v="0"/>
    <n v="0"/>
    <n v="0"/>
    <n v="0"/>
    <n v="0"/>
    <n v="0"/>
    <n v="0"/>
    <n v="0"/>
    <n v="0"/>
    <n v="0"/>
    <n v="0"/>
    <x v="0"/>
    <n v="0"/>
    <n v="0"/>
    <n v="0"/>
    <n v="0"/>
    <n v="0"/>
    <n v="0"/>
    <n v="0"/>
    <n v="0"/>
    <n v="0"/>
    <n v="0"/>
    <n v="0"/>
    <n v="0"/>
    <n v="0"/>
    <n v="0"/>
    <n v="0"/>
    <n v="0"/>
    <n v="0"/>
    <n v="0"/>
    <n v="0"/>
    <n v="0"/>
    <n v="0"/>
    <n v="0"/>
    <n v="0"/>
    <n v="0"/>
    <n v="0"/>
    <n v="0"/>
    <n v="0"/>
    <n v="0"/>
    <n v="0"/>
    <n v="0"/>
  </r>
  <r>
    <x v="2"/>
    <s v="AAM-PHC/PHC"/>
    <x v="80"/>
    <s v="GEETHA MATERNITY CLINIC PVT HOSPITAL"/>
    <x v="1"/>
    <x v="56"/>
    <n v="0"/>
    <n v="0"/>
    <n v="43"/>
    <n v="0"/>
    <n v="41"/>
    <n v="102"/>
    <n v="22"/>
    <n v="10"/>
    <n v="0"/>
    <n v="0"/>
    <n v="0"/>
    <n v="0"/>
    <n v="0"/>
    <n v="0"/>
    <x v="0"/>
    <n v="0"/>
    <n v="0"/>
    <n v="0"/>
    <n v="16"/>
    <n v="0"/>
    <n v="0"/>
    <n v="16"/>
    <n v="0"/>
    <n v="0"/>
    <n v="0"/>
    <n v="24"/>
    <n v="0"/>
    <n v="0"/>
    <n v="0"/>
    <n v="0"/>
    <n v="0"/>
    <n v="14"/>
    <n v="14"/>
    <n v="0"/>
    <n v="0"/>
    <n v="0"/>
    <n v="0"/>
    <n v="0"/>
    <n v="0"/>
    <n v="0"/>
    <n v="0"/>
    <n v="0"/>
    <n v="0"/>
    <n v="0"/>
    <n v="0"/>
  </r>
  <r>
    <x v="2"/>
    <s v="AAM-PHC/PHC"/>
    <x v="18"/>
    <s v="Manipal ESI Disp"/>
    <x v="0"/>
    <x v="12"/>
    <n v="0"/>
    <n v="0"/>
    <n v="0"/>
    <n v="0"/>
    <n v="0"/>
    <n v="31"/>
    <n v="0"/>
    <n v="0"/>
    <n v="0"/>
    <n v="0"/>
    <n v="0"/>
    <n v="0"/>
    <n v="0"/>
    <n v="0"/>
    <x v="0"/>
    <n v="0"/>
    <n v="0"/>
    <n v="0"/>
    <n v="0"/>
    <n v="0"/>
    <n v="0"/>
    <n v="0"/>
    <n v="0"/>
    <n v="0"/>
    <n v="0"/>
    <n v="0"/>
    <n v="0"/>
    <n v="0"/>
    <n v="0"/>
    <n v="0"/>
    <n v="0"/>
    <n v="0"/>
    <n v="0"/>
    <n v="0"/>
    <n v="0"/>
    <n v="0"/>
    <n v="0"/>
    <n v="0"/>
    <n v="0"/>
    <n v="0"/>
    <n v="0"/>
    <n v="0"/>
    <n v="0"/>
    <n v="0"/>
    <n v="0"/>
  </r>
  <r>
    <x v="2"/>
    <s v="AAM-PHC/PHC"/>
    <x v="74"/>
    <s v="Manipal UPHC"/>
    <x v="0"/>
    <x v="12"/>
    <n v="0"/>
    <n v="0"/>
    <n v="0"/>
    <n v="0"/>
    <n v="0"/>
    <n v="210"/>
    <n v="28"/>
    <n v="24"/>
    <n v="2"/>
    <n v="0"/>
    <n v="0"/>
    <n v="0"/>
    <n v="0"/>
    <n v="0"/>
    <x v="0"/>
    <n v="0"/>
    <n v="0"/>
    <n v="20"/>
    <n v="1"/>
    <n v="0"/>
    <n v="0"/>
    <n v="0"/>
    <n v="0"/>
    <n v="0"/>
    <n v="0"/>
    <n v="0"/>
    <n v="0"/>
    <n v="0"/>
    <n v="0"/>
    <n v="0"/>
    <n v="0"/>
    <n v="0"/>
    <n v="0"/>
    <n v="0"/>
    <n v="0"/>
    <n v="0"/>
    <n v="0"/>
    <n v="0"/>
    <n v="0"/>
    <n v="0"/>
    <n v="0"/>
    <n v="0"/>
    <n v="0"/>
    <n v="0"/>
    <n v="0"/>
  </r>
  <r>
    <x v="2"/>
    <s v="AAM-PHC/PHC"/>
    <x v="18"/>
    <s v="Padubidri ESI Disp"/>
    <x v="0"/>
    <x v="12"/>
    <n v="0"/>
    <n v="0"/>
    <n v="0"/>
    <n v="0"/>
    <n v="0"/>
    <n v="7"/>
    <n v="0"/>
    <n v="0"/>
    <n v="0"/>
    <n v="0"/>
    <n v="0"/>
    <n v="0"/>
    <n v="0"/>
    <n v="0"/>
    <x v="0"/>
    <n v="0"/>
    <n v="0"/>
    <n v="0"/>
    <n v="0"/>
    <n v="0"/>
    <n v="0"/>
    <n v="0"/>
    <n v="0"/>
    <n v="0"/>
    <n v="0"/>
    <n v="0"/>
    <n v="0"/>
    <n v="0"/>
    <n v="0"/>
    <n v="0"/>
    <n v="0"/>
    <n v="0"/>
    <n v="0"/>
    <n v="0"/>
    <n v="0"/>
    <n v="0"/>
    <n v="0"/>
    <n v="0"/>
    <n v="0"/>
    <n v="0"/>
    <n v="0"/>
    <n v="0"/>
    <n v="0"/>
    <n v="0"/>
    <n v="0"/>
  </r>
  <r>
    <x v="2"/>
    <s v="AAM-PHC/PHC"/>
    <x v="80"/>
    <s v="PRAJANA WOMEN CLINIC PVT HOSPITAL"/>
    <x v="1"/>
    <x v="63"/>
    <n v="0"/>
    <n v="0"/>
    <n v="40"/>
    <n v="0"/>
    <n v="40"/>
    <n v="94"/>
    <n v="40"/>
    <n v="32"/>
    <n v="0"/>
    <n v="9"/>
    <n v="9"/>
    <n v="0"/>
    <n v="26"/>
    <n v="0"/>
    <x v="0"/>
    <n v="0"/>
    <n v="0"/>
    <n v="36"/>
    <n v="0"/>
    <n v="0"/>
    <n v="0"/>
    <n v="35"/>
    <n v="0"/>
    <n v="0"/>
    <n v="0"/>
    <n v="36"/>
    <n v="0"/>
    <n v="0"/>
    <n v="0"/>
    <n v="0"/>
    <n v="0"/>
    <n v="0"/>
    <n v="0"/>
    <n v="0"/>
    <n v="0"/>
    <n v="0"/>
    <n v="0"/>
    <n v="0"/>
    <n v="0"/>
    <n v="0"/>
    <n v="0"/>
    <n v="0"/>
    <n v="0"/>
    <n v="0"/>
    <n v="0"/>
  </r>
  <r>
    <x v="2"/>
    <s v="AAM-PHC/PHC"/>
    <x v="80"/>
    <s v="RADHA LAXMI MATERNITY AND GENERAL CLINIC SHIRVA PVT HOSPITAL"/>
    <x v="1"/>
    <x v="12"/>
    <n v="0"/>
    <n v="0"/>
    <n v="0"/>
    <n v="0"/>
    <n v="0"/>
    <n v="0"/>
    <n v="0"/>
    <n v="0"/>
    <n v="0"/>
    <n v="0"/>
    <n v="0"/>
    <n v="0"/>
    <n v="0"/>
    <n v="0"/>
    <x v="0"/>
    <n v="0"/>
    <n v="0"/>
    <n v="0"/>
    <n v="0"/>
    <n v="0"/>
    <n v="0"/>
    <n v="0"/>
    <n v="0"/>
    <n v="0"/>
    <n v="0"/>
    <n v="0"/>
    <n v="0"/>
    <n v="0"/>
    <n v="0"/>
    <n v="0"/>
    <n v="0"/>
    <n v="0"/>
    <n v="0"/>
    <n v="0"/>
    <n v="0"/>
    <n v="0"/>
    <n v="0"/>
    <n v="0"/>
    <n v="0"/>
    <n v="0"/>
    <n v="0"/>
    <n v="0"/>
    <n v="0"/>
    <n v="0"/>
    <n v="0"/>
  </r>
  <r>
    <x v="2"/>
    <s v="AAM-PHC/PHC"/>
    <x v="80"/>
    <s v="SHRISTI CLINIC BRAHMAVARA PVT HOSPITAL"/>
    <x v="1"/>
    <x v="82"/>
    <n v="0"/>
    <n v="0"/>
    <n v="74"/>
    <n v="0"/>
    <n v="49"/>
    <n v="345"/>
    <n v="7"/>
    <n v="2"/>
    <n v="0"/>
    <n v="0"/>
    <n v="0"/>
    <n v="20"/>
    <n v="0"/>
    <n v="0"/>
    <x v="0"/>
    <n v="0"/>
    <n v="0"/>
    <n v="0"/>
    <n v="0"/>
    <n v="0"/>
    <n v="0"/>
    <n v="0"/>
    <n v="0"/>
    <n v="0"/>
    <n v="0"/>
    <n v="0"/>
    <n v="0"/>
    <n v="0"/>
    <n v="0"/>
    <n v="0"/>
    <n v="0"/>
    <n v="10"/>
    <n v="9"/>
    <n v="0"/>
    <n v="0"/>
    <n v="0"/>
    <n v="0"/>
    <n v="0"/>
    <n v="0"/>
    <n v="0"/>
    <n v="0"/>
    <n v="0"/>
    <n v="0"/>
    <n v="0"/>
    <n v="0"/>
  </r>
  <r>
    <x v="2"/>
    <s v="AAM-PHC/PHC"/>
    <x v="18"/>
    <s v="Udupi ESI Disp"/>
    <x v="0"/>
    <x v="12"/>
    <n v="0"/>
    <n v="0"/>
    <n v="0"/>
    <n v="0"/>
    <n v="0"/>
    <n v="18"/>
    <n v="0"/>
    <n v="0"/>
    <n v="0"/>
    <n v="0"/>
    <n v="0"/>
    <n v="0"/>
    <n v="0"/>
    <n v="0"/>
    <x v="0"/>
    <n v="0"/>
    <n v="0"/>
    <n v="0"/>
    <n v="0"/>
    <n v="0"/>
    <n v="0"/>
    <n v="0"/>
    <n v="0"/>
    <n v="0"/>
    <n v="0"/>
    <n v="0"/>
    <n v="0"/>
    <n v="0"/>
    <n v="0"/>
    <n v="0"/>
    <n v="0"/>
    <n v="0"/>
    <n v="0"/>
    <n v="0"/>
    <n v="0"/>
    <n v="0"/>
    <n v="0"/>
    <n v="0"/>
    <n v="0"/>
    <n v="0"/>
    <n v="0"/>
    <n v="0"/>
    <n v="0"/>
    <n v="0"/>
    <n v="0"/>
  </r>
  <r>
    <x v="2"/>
    <s v="AAM-PHC/PHC"/>
    <x v="76"/>
    <s v="UDUPI UPHC"/>
    <x v="0"/>
    <x v="12"/>
    <n v="0"/>
    <n v="0"/>
    <n v="0"/>
    <n v="0"/>
    <n v="0"/>
    <n v="437"/>
    <n v="69"/>
    <n v="49"/>
    <n v="9"/>
    <n v="0"/>
    <n v="0"/>
    <n v="13"/>
    <n v="47"/>
    <n v="0"/>
    <x v="0"/>
    <n v="0"/>
    <n v="0"/>
    <n v="0"/>
    <n v="0"/>
    <n v="0"/>
    <n v="0"/>
    <n v="0"/>
    <n v="0"/>
    <n v="0"/>
    <n v="0"/>
    <n v="127"/>
    <n v="1"/>
    <n v="0"/>
    <n v="0"/>
    <n v="0"/>
    <n v="0"/>
    <n v="0"/>
    <n v="0"/>
    <n v="0"/>
    <n v="0"/>
    <n v="0"/>
    <n v="0"/>
    <n v="0"/>
    <n v="0"/>
    <n v="0"/>
    <n v="0"/>
    <n v="0"/>
    <n v="0"/>
    <n v="0"/>
    <n v="0"/>
  </r>
  <r>
    <x v="2"/>
    <s v="AAM-PHC/PHC"/>
    <x v="80"/>
    <s v="VATSALYA CLINIC SANTEKATTE PVT HOSPITAL"/>
    <x v="1"/>
    <x v="83"/>
    <n v="0"/>
    <n v="0"/>
    <n v="371"/>
    <n v="0"/>
    <n v="343"/>
    <n v="403"/>
    <n v="1"/>
    <n v="27"/>
    <n v="0"/>
    <n v="0"/>
    <n v="0"/>
    <n v="0"/>
    <n v="4"/>
    <n v="0"/>
    <x v="0"/>
    <n v="0"/>
    <n v="0"/>
    <n v="0"/>
    <n v="0"/>
    <n v="0"/>
    <n v="0"/>
    <n v="0"/>
    <n v="0"/>
    <n v="0"/>
    <n v="0"/>
    <n v="0"/>
    <n v="0"/>
    <n v="0"/>
    <n v="0"/>
    <n v="0"/>
    <n v="0"/>
    <n v="0"/>
    <n v="0"/>
    <n v="0"/>
    <n v="0"/>
    <n v="0"/>
    <n v="0"/>
    <n v="0"/>
    <n v="0"/>
    <n v="0"/>
    <n v="0"/>
    <n v="0"/>
    <n v="0"/>
    <n v="0"/>
    <n v="0"/>
  </r>
  <r>
    <x v="2"/>
    <s v="Sub District Hospital"/>
    <x v="80"/>
    <s v="ADARSHA  PVT HOSPITAL"/>
    <x v="1"/>
    <x v="84"/>
    <n v="0"/>
    <n v="0"/>
    <n v="4"/>
    <n v="0"/>
    <n v="4"/>
    <n v="139"/>
    <n v="21"/>
    <n v="13"/>
    <n v="0"/>
    <n v="156"/>
    <n v="156"/>
    <n v="9"/>
    <n v="17"/>
    <n v="0"/>
    <x v="10"/>
    <n v="9"/>
    <n v="0"/>
    <n v="0"/>
    <n v="0"/>
    <n v="0"/>
    <n v="0"/>
    <n v="14"/>
    <n v="10"/>
    <n v="0"/>
    <n v="10"/>
    <n v="30"/>
    <n v="0"/>
    <n v="0"/>
    <n v="0"/>
    <n v="0"/>
    <n v="0"/>
    <n v="9"/>
    <n v="3"/>
    <n v="0"/>
    <n v="0"/>
    <n v="0"/>
    <n v="0"/>
    <n v="0"/>
    <n v="0"/>
    <n v="0"/>
    <n v="0"/>
    <n v="0"/>
    <n v="0"/>
    <n v="0"/>
    <n v="0"/>
  </r>
  <r>
    <x v="2"/>
    <s v="Sub District Hospital"/>
    <x v="80"/>
    <s v="ANUSHA CHILDREN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A.V BALIGA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CHILDREN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CITY HOSPITAL AND DIAGNOSTIC CENTRE UDUPI Pvt Hospital"/>
    <x v="1"/>
    <x v="12"/>
    <n v="0"/>
    <n v="0"/>
    <n v="0"/>
    <n v="0"/>
    <n v="0"/>
    <n v="627"/>
    <n v="58"/>
    <n v="31"/>
    <n v="0"/>
    <n v="0"/>
    <n v="0"/>
    <n v="0"/>
    <n v="0"/>
    <n v="0"/>
    <x v="7"/>
    <n v="1"/>
    <n v="0"/>
    <n v="55"/>
    <n v="75"/>
    <n v="0"/>
    <n v="0"/>
    <n v="49"/>
    <n v="8"/>
    <n v="0"/>
    <n v="2"/>
    <n v="2"/>
    <n v="0"/>
    <n v="0"/>
    <n v="0"/>
    <n v="0"/>
    <n v="0"/>
    <n v="12"/>
    <n v="4"/>
    <n v="0"/>
    <n v="0"/>
    <n v="0"/>
    <n v="1"/>
    <n v="1"/>
    <n v="0"/>
    <n v="0"/>
    <n v="0"/>
    <n v="0"/>
    <n v="0"/>
    <n v="0"/>
    <n v="2"/>
  </r>
  <r>
    <x v="2"/>
    <s v="Sub District Hospital"/>
    <x v="80"/>
    <s v="Cradle kid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CSI LOMBARD MEMORIAL PVT HOSPITAL"/>
    <x v="1"/>
    <x v="85"/>
    <n v="0"/>
    <n v="0"/>
    <n v="143"/>
    <n v="0"/>
    <n v="185"/>
    <n v="2298"/>
    <n v="130"/>
    <n v="103"/>
    <n v="0"/>
    <n v="0"/>
    <n v="0"/>
    <n v="0"/>
    <n v="0"/>
    <n v="233"/>
    <x v="0"/>
    <n v="0"/>
    <n v="0"/>
    <n v="0"/>
    <n v="0"/>
    <n v="0"/>
    <n v="0"/>
    <n v="0"/>
    <n v="0"/>
    <n v="0"/>
    <n v="0"/>
    <n v="137"/>
    <n v="0"/>
    <n v="0"/>
    <n v="0"/>
    <n v="0"/>
    <n v="0"/>
    <n v="0"/>
    <n v="0"/>
    <n v="0"/>
    <n v="0"/>
    <n v="0"/>
    <n v="0"/>
    <n v="0"/>
    <n v="0"/>
    <n v="0"/>
    <n v="0"/>
    <n v="0"/>
    <n v="0"/>
    <n v="0"/>
    <n v="1"/>
  </r>
  <r>
    <x v="2"/>
    <s v="Sub District Hospital"/>
    <x v="80"/>
    <s v="DR BALAKRISHNA SHETTY CHILDREN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DR KRISHNAMURTHY CHILDREN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Dr.T.M.A Pai  Pvt Hospital"/>
    <x v="1"/>
    <x v="12"/>
    <n v="0"/>
    <n v="0"/>
    <n v="0"/>
    <n v="0"/>
    <n v="0"/>
    <n v="6672"/>
    <n v="216"/>
    <n v="151"/>
    <n v="59"/>
    <n v="0"/>
    <n v="0"/>
    <n v="102"/>
    <n v="0"/>
    <n v="747"/>
    <x v="11"/>
    <n v="200"/>
    <n v="0"/>
    <n v="406"/>
    <n v="226"/>
    <n v="1"/>
    <n v="1"/>
    <n v="937"/>
    <n v="322"/>
    <n v="35"/>
    <n v="159"/>
    <n v="0"/>
    <n v="0"/>
    <n v="0"/>
    <n v="0"/>
    <n v="0"/>
    <n v="0"/>
    <n v="244"/>
    <n v="280"/>
    <n v="0"/>
    <n v="0"/>
    <n v="0"/>
    <n v="27"/>
    <n v="16"/>
    <n v="0"/>
    <n v="0"/>
    <n v="11"/>
    <n v="0"/>
    <n v="19"/>
    <n v="2"/>
    <n v="5"/>
  </r>
  <r>
    <x v="2"/>
    <s v="Sub District Hospital"/>
    <x v="80"/>
    <s v="GANDHI  PVT HOSPITAL"/>
    <x v="1"/>
    <x v="12"/>
    <n v="0"/>
    <n v="0"/>
    <n v="0"/>
    <n v="0"/>
    <n v="0"/>
    <n v="111"/>
    <n v="10"/>
    <n v="10"/>
    <n v="0"/>
    <n v="0"/>
    <n v="0"/>
    <n v="0"/>
    <n v="0"/>
    <n v="0"/>
    <x v="0"/>
    <n v="0"/>
    <n v="0"/>
    <n v="12"/>
    <n v="41"/>
    <n v="0"/>
    <n v="0"/>
    <n v="0"/>
    <n v="0"/>
    <n v="0"/>
    <n v="0"/>
    <n v="2"/>
    <n v="0"/>
    <n v="0"/>
    <n v="0"/>
    <n v="0"/>
    <n v="0"/>
    <n v="22"/>
    <n v="1"/>
    <n v="0"/>
    <n v="0"/>
    <n v="0"/>
    <n v="0"/>
    <n v="0"/>
    <n v="0"/>
    <n v="0"/>
    <n v="0"/>
    <n v="0"/>
    <n v="0"/>
    <n v="0"/>
    <n v="0"/>
  </r>
  <r>
    <x v="2"/>
    <s v="Sub District Hospital"/>
    <x v="80"/>
    <s v="GORETTI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HITECH MEDICARE HOSPITAL Pvt Hospital"/>
    <x v="1"/>
    <x v="12"/>
    <n v="0"/>
    <n v="0"/>
    <n v="0"/>
    <n v="0"/>
    <n v="0"/>
    <n v="438"/>
    <n v="47"/>
    <n v="22"/>
    <n v="0"/>
    <n v="0"/>
    <n v="0"/>
    <n v="45"/>
    <n v="28"/>
    <n v="59"/>
    <x v="6"/>
    <n v="6"/>
    <n v="0"/>
    <n v="8"/>
    <n v="10"/>
    <n v="3"/>
    <n v="1"/>
    <n v="29"/>
    <n v="6"/>
    <n v="1"/>
    <n v="6"/>
    <n v="17"/>
    <n v="0"/>
    <n v="0"/>
    <n v="0"/>
    <n v="0"/>
    <n v="0"/>
    <n v="5"/>
    <n v="5"/>
    <n v="0"/>
    <n v="0"/>
    <n v="0"/>
    <n v="0"/>
    <n v="0"/>
    <n v="0"/>
    <n v="0"/>
    <n v="0"/>
    <n v="0"/>
    <n v="0"/>
    <n v="0"/>
    <n v="0"/>
  </r>
  <r>
    <x v="2"/>
    <s v="Sub District Hospital"/>
    <x v="80"/>
    <s v="JEEVAN JYOTI  PVT HOSPITAL"/>
    <x v="1"/>
    <x v="12"/>
    <n v="0"/>
    <n v="0"/>
    <n v="0"/>
    <n v="0"/>
    <n v="0"/>
    <n v="0"/>
    <n v="0"/>
    <n v="0"/>
    <n v="0"/>
    <n v="0"/>
    <n v="0"/>
    <n v="0"/>
    <n v="0"/>
    <n v="0"/>
    <x v="0"/>
    <n v="0"/>
    <n v="0"/>
    <n v="0"/>
    <n v="0"/>
    <n v="0"/>
    <n v="0"/>
    <n v="0"/>
    <n v="0"/>
    <n v="0"/>
    <n v="0"/>
    <n v="1"/>
    <n v="0"/>
    <n v="0"/>
    <n v="0"/>
    <n v="0"/>
    <n v="0"/>
    <n v="0"/>
    <n v="0"/>
    <n v="0"/>
    <n v="0"/>
    <n v="0"/>
    <n v="0"/>
    <n v="0"/>
    <n v="0"/>
    <n v="0"/>
    <n v="0"/>
    <n v="0"/>
    <n v="0"/>
    <n v="0"/>
    <n v="0"/>
  </r>
  <r>
    <x v="2"/>
    <s v="Sub District Hospital"/>
    <x v="80"/>
    <s v="Kamath Nursing Home Pvt Hospital"/>
    <x v="1"/>
    <x v="12"/>
    <n v="0"/>
    <n v="0"/>
    <n v="0"/>
    <n v="0"/>
    <n v="0"/>
    <n v="93"/>
    <n v="22"/>
    <n v="0"/>
    <n v="0"/>
    <n v="0"/>
    <n v="0"/>
    <n v="17"/>
    <n v="0"/>
    <n v="2"/>
    <x v="0"/>
    <n v="0"/>
    <n v="0"/>
    <n v="1"/>
    <n v="0"/>
    <n v="1"/>
    <n v="1"/>
    <n v="8"/>
    <n v="0"/>
    <n v="0"/>
    <n v="0"/>
    <n v="0"/>
    <n v="0"/>
    <n v="0"/>
    <n v="0"/>
    <n v="0"/>
    <n v="0"/>
    <n v="0"/>
    <n v="0"/>
    <n v="0"/>
    <n v="0"/>
    <n v="0"/>
    <n v="0"/>
    <n v="0"/>
    <n v="0"/>
    <n v="0"/>
    <n v="0"/>
    <n v="0"/>
    <n v="0"/>
    <n v="0"/>
    <n v="0"/>
  </r>
  <r>
    <x v="2"/>
    <s v="Sub District Hospital"/>
    <x v="80"/>
    <s v="Kasturba Pvt  Hospital"/>
    <x v="1"/>
    <x v="12"/>
    <n v="0"/>
    <n v="0"/>
    <n v="0"/>
    <n v="0"/>
    <n v="0"/>
    <n v="19871"/>
    <n v="866"/>
    <n v="854"/>
    <n v="878"/>
    <n v="4655"/>
    <n v="4334"/>
    <n v="769"/>
    <n v="1582"/>
    <n v="644"/>
    <x v="12"/>
    <n v="202"/>
    <n v="24"/>
    <n v="723"/>
    <n v="549"/>
    <n v="115"/>
    <n v="115"/>
    <n v="2108"/>
    <n v="519"/>
    <n v="163"/>
    <n v="87"/>
    <n v="0"/>
    <n v="0"/>
    <n v="0"/>
    <n v="0"/>
    <n v="0"/>
    <n v="0"/>
    <n v="364"/>
    <n v="364"/>
    <n v="0"/>
    <n v="0"/>
    <n v="0"/>
    <n v="26"/>
    <n v="3"/>
    <n v="0"/>
    <n v="20"/>
    <n v="3"/>
    <n v="0"/>
    <n v="10"/>
    <n v="12"/>
    <n v="42"/>
  </r>
  <r>
    <x v="2"/>
    <s v="Sub District Hospital"/>
    <x v="80"/>
    <s v="KIDS CARE CHILDREN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LALITH PVT HOSPITAL"/>
    <x v="1"/>
    <x v="79"/>
    <n v="0"/>
    <n v="0"/>
    <n v="70"/>
    <n v="0"/>
    <n v="0"/>
    <n v="354"/>
    <n v="175"/>
    <n v="160"/>
    <n v="0"/>
    <n v="0"/>
    <n v="0"/>
    <n v="0"/>
    <n v="0"/>
    <n v="4"/>
    <x v="13"/>
    <n v="37"/>
    <n v="0"/>
    <n v="4"/>
    <n v="6"/>
    <n v="1"/>
    <n v="1"/>
    <n v="0"/>
    <n v="0"/>
    <n v="0"/>
    <n v="0"/>
    <n v="0"/>
    <n v="0"/>
    <n v="0"/>
    <n v="0"/>
    <n v="0"/>
    <n v="0"/>
    <n v="8"/>
    <n v="38"/>
    <n v="0"/>
    <n v="0"/>
    <n v="0"/>
    <n v="0"/>
    <n v="0"/>
    <n v="0"/>
    <n v="0"/>
    <n v="0"/>
    <n v="0"/>
    <n v="0"/>
    <n v="0"/>
    <n v="0"/>
  </r>
  <r>
    <x v="2"/>
    <s v="Sub District Hospital"/>
    <x v="80"/>
    <s v="MAHESH PVT HOSPITAL"/>
    <x v="1"/>
    <x v="12"/>
    <n v="0"/>
    <n v="0"/>
    <n v="0"/>
    <n v="0"/>
    <n v="0"/>
    <n v="340"/>
    <n v="0"/>
    <n v="0"/>
    <n v="0"/>
    <n v="0"/>
    <n v="0"/>
    <n v="0"/>
    <n v="0"/>
    <n v="0"/>
    <x v="0"/>
    <n v="0"/>
    <n v="0"/>
    <n v="0"/>
    <n v="0"/>
    <n v="0"/>
    <n v="0"/>
    <n v="0"/>
    <n v="0"/>
    <n v="0"/>
    <n v="0"/>
    <n v="0"/>
    <n v="0"/>
    <n v="0"/>
    <n v="0"/>
    <n v="0"/>
    <n v="0"/>
    <n v="0"/>
    <n v="0"/>
    <n v="0"/>
    <n v="0"/>
    <n v="0"/>
    <n v="0"/>
    <n v="0"/>
    <n v="0"/>
    <n v="0"/>
    <n v="0"/>
    <n v="0"/>
    <n v="0"/>
    <n v="0"/>
    <n v="0"/>
  </r>
  <r>
    <x v="2"/>
    <s v="Sub District Hospital"/>
    <x v="80"/>
    <s v="Meera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MITRA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NEW CITY HOSPITAL Pvt Hospital"/>
    <x v="1"/>
    <x v="12"/>
    <n v="0"/>
    <n v="0"/>
    <n v="0"/>
    <n v="0"/>
    <n v="0"/>
    <n v="451"/>
    <n v="37"/>
    <n v="35"/>
    <n v="0"/>
    <n v="0"/>
    <n v="0"/>
    <n v="0"/>
    <n v="0"/>
    <n v="0"/>
    <x v="0"/>
    <n v="0"/>
    <n v="0"/>
    <n v="18"/>
    <n v="25"/>
    <n v="0"/>
    <n v="0"/>
    <n v="43"/>
    <n v="0"/>
    <n v="0"/>
    <n v="0"/>
    <n v="46"/>
    <n v="0"/>
    <n v="0"/>
    <n v="0"/>
    <n v="0"/>
    <n v="0"/>
    <n v="3"/>
    <n v="2"/>
    <n v="0"/>
    <n v="0"/>
    <n v="0"/>
    <n v="0"/>
    <n v="0"/>
    <n v="0"/>
    <n v="0"/>
    <n v="0"/>
    <n v="0"/>
    <n v="0"/>
    <n v="0"/>
    <n v="0"/>
  </r>
  <r>
    <x v="2"/>
    <s v="Sub District Hospital"/>
    <x v="80"/>
    <s v="Pranava Pvt  Hospital"/>
    <x v="1"/>
    <x v="12"/>
    <n v="0"/>
    <n v="0"/>
    <n v="0"/>
    <n v="0"/>
    <n v="0"/>
    <n v="39"/>
    <n v="0"/>
    <n v="0"/>
    <n v="0"/>
    <n v="0"/>
    <n v="0"/>
    <n v="0"/>
    <n v="0"/>
    <n v="0"/>
    <x v="0"/>
    <n v="0"/>
    <n v="0"/>
    <n v="0"/>
    <n v="0"/>
    <n v="0"/>
    <n v="0"/>
    <n v="0"/>
    <n v="0"/>
    <n v="0"/>
    <n v="0"/>
    <n v="0"/>
    <n v="0"/>
    <n v="0"/>
    <n v="0"/>
    <n v="0"/>
    <n v="0"/>
    <n v="0"/>
    <n v="0"/>
    <n v="0"/>
    <n v="0"/>
    <n v="0"/>
    <n v="0"/>
    <n v="0"/>
    <n v="0"/>
    <n v="0"/>
    <n v="0"/>
    <n v="0"/>
    <n v="0"/>
    <n v="0"/>
    <n v="0"/>
  </r>
  <r>
    <x v="2"/>
    <s v="Sub District Hospital"/>
    <x v="80"/>
    <s v="PRASAD NETHRALAYA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Prashanth Pvt  hospital"/>
    <x v="1"/>
    <x v="12"/>
    <n v="0"/>
    <n v="0"/>
    <n v="0"/>
    <n v="0"/>
    <n v="0"/>
    <n v="56"/>
    <n v="5"/>
    <n v="5"/>
    <n v="0"/>
    <n v="23"/>
    <n v="23"/>
    <n v="0"/>
    <n v="0"/>
    <n v="0"/>
    <x v="0"/>
    <n v="0"/>
    <n v="0"/>
    <n v="0"/>
    <n v="0"/>
    <n v="0"/>
    <n v="0"/>
    <n v="0"/>
    <n v="0"/>
    <n v="0"/>
    <n v="0"/>
    <n v="20"/>
    <n v="0"/>
    <n v="0"/>
    <n v="0"/>
    <n v="0"/>
    <n v="0"/>
    <n v="0"/>
    <n v="0"/>
    <n v="0"/>
    <n v="0"/>
    <n v="0"/>
    <n v="0"/>
    <n v="0"/>
    <n v="0"/>
    <n v="0"/>
    <n v="0"/>
    <n v="0"/>
    <n v="0"/>
    <n v="0"/>
    <n v="0"/>
  </r>
  <r>
    <x v="2"/>
    <s v="Sub District Hospital"/>
    <x v="80"/>
    <s v="Roshni Laparoscopy &amp; Infertility Centre  Pvt Hospital"/>
    <x v="1"/>
    <x v="12"/>
    <n v="0"/>
    <n v="0"/>
    <n v="0"/>
    <n v="0"/>
    <n v="0"/>
    <n v="94"/>
    <n v="23"/>
    <n v="8"/>
    <n v="0"/>
    <n v="0"/>
    <n v="0"/>
    <n v="0"/>
    <n v="15"/>
    <n v="0"/>
    <x v="0"/>
    <n v="0"/>
    <n v="0"/>
    <n v="0"/>
    <n v="0"/>
    <n v="0"/>
    <n v="0"/>
    <n v="11"/>
    <n v="0"/>
    <n v="0"/>
    <n v="0"/>
    <n v="0"/>
    <n v="0"/>
    <n v="0"/>
    <n v="0"/>
    <n v="0"/>
    <n v="0"/>
    <n v="0"/>
    <n v="0"/>
    <n v="0"/>
    <n v="0"/>
    <n v="0"/>
    <n v="0"/>
    <n v="0"/>
    <n v="0"/>
    <n v="0"/>
    <n v="0"/>
    <n v="0"/>
    <n v="0"/>
    <n v="0"/>
    <n v="0"/>
  </r>
  <r>
    <x v="2"/>
    <s v="Sub District Hospital"/>
    <x v="80"/>
    <s v="SANJEEVINI CHILDRENS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SIDDHI VINAYAK  PVT HOSPITAL"/>
    <x v="1"/>
    <x v="86"/>
    <n v="0"/>
    <n v="0"/>
    <n v="288"/>
    <n v="0"/>
    <n v="125"/>
    <n v="1460"/>
    <n v="323"/>
    <n v="113"/>
    <n v="17"/>
    <n v="339"/>
    <n v="402"/>
    <n v="465"/>
    <n v="190"/>
    <n v="1"/>
    <x v="14"/>
    <n v="32"/>
    <n v="0"/>
    <n v="0"/>
    <n v="40"/>
    <n v="14"/>
    <n v="14"/>
    <n v="465"/>
    <n v="14"/>
    <n v="0"/>
    <n v="14"/>
    <n v="82"/>
    <n v="0"/>
    <n v="0"/>
    <n v="0"/>
    <n v="0"/>
    <n v="0"/>
    <n v="16"/>
    <n v="16"/>
    <n v="0"/>
    <n v="0"/>
    <n v="0"/>
    <n v="0"/>
    <n v="0"/>
    <n v="0"/>
    <n v="0"/>
    <n v="0"/>
    <n v="4"/>
    <n v="0"/>
    <n v="17"/>
    <n v="0"/>
  </r>
  <r>
    <x v="2"/>
    <s v="Sub District Hospital"/>
    <x v="80"/>
    <s v="SONIACLINIC AND NURSING PVT HOSPITAL"/>
    <x v="1"/>
    <x v="12"/>
    <n v="0"/>
    <n v="0"/>
    <n v="0"/>
    <n v="0"/>
    <n v="0"/>
    <n v="1175"/>
    <n v="61"/>
    <n v="0"/>
    <n v="45"/>
    <n v="0"/>
    <n v="0"/>
    <n v="0"/>
    <n v="0"/>
    <n v="66"/>
    <x v="15"/>
    <n v="12"/>
    <n v="0"/>
    <n v="0"/>
    <n v="156"/>
    <n v="0"/>
    <n v="0"/>
    <n v="0"/>
    <n v="0"/>
    <n v="0"/>
    <n v="0"/>
    <n v="153"/>
    <n v="0"/>
    <n v="0"/>
    <n v="0"/>
    <n v="0"/>
    <n v="0"/>
    <n v="36"/>
    <n v="0"/>
    <n v="0"/>
    <n v="0"/>
    <n v="0"/>
    <n v="0"/>
    <n v="0"/>
    <n v="0"/>
    <n v="0"/>
    <n v="0"/>
    <n v="0"/>
    <n v="1"/>
    <n v="0"/>
    <n v="0"/>
  </r>
  <r>
    <x v="2"/>
    <s v="Sub District Hospital"/>
    <x v="80"/>
    <s v="SPANDANA CHILDCARE PVT HOSPITAL"/>
    <x v="1"/>
    <x v="12"/>
    <n v="0"/>
    <n v="0"/>
    <n v="0"/>
    <n v="0"/>
    <n v="0"/>
    <n v="0"/>
    <n v="0"/>
    <n v="0"/>
    <n v="0"/>
    <n v="0"/>
    <n v="0"/>
    <n v="0"/>
    <n v="0"/>
    <n v="0"/>
    <x v="0"/>
    <n v="0"/>
    <n v="0"/>
    <n v="0"/>
    <n v="0"/>
    <n v="0"/>
    <n v="0"/>
    <n v="0"/>
    <n v="0"/>
    <n v="0"/>
    <n v="0"/>
    <n v="0"/>
    <n v="0"/>
    <n v="0"/>
    <n v="0"/>
    <n v="0"/>
    <n v="0"/>
    <n v="0"/>
    <n v="0"/>
    <n v="0"/>
    <n v="0"/>
    <n v="0"/>
    <n v="0"/>
    <n v="0"/>
    <n v="0"/>
    <n v="0"/>
    <n v="0"/>
    <n v="0"/>
    <n v="0"/>
    <n v="0"/>
    <n v="0"/>
  </r>
  <r>
    <x v="2"/>
    <s v="Sub District Hospital"/>
    <x v="80"/>
    <s v="SRI DHARMASTHALA MANJUNATHESHWARA COLLEGE OF AYURVEDA AND HOSPITAL KUTHPADY UDUPI Pvt Hospital"/>
    <x v="1"/>
    <x v="15"/>
    <n v="0"/>
    <n v="0"/>
    <n v="30"/>
    <n v="0"/>
    <n v="0"/>
    <n v="2132"/>
    <n v="75"/>
    <n v="72"/>
    <n v="5"/>
    <n v="0"/>
    <n v="0"/>
    <n v="0"/>
    <n v="0"/>
    <n v="7"/>
    <x v="2"/>
    <n v="1"/>
    <n v="0"/>
    <n v="1"/>
    <n v="1"/>
    <n v="1"/>
    <n v="0"/>
    <n v="2"/>
    <n v="2"/>
    <n v="0"/>
    <n v="0"/>
    <n v="25"/>
    <n v="0"/>
    <n v="0"/>
    <n v="0"/>
    <n v="0"/>
    <n v="0"/>
    <n v="0"/>
    <n v="0"/>
    <n v="25"/>
    <n v="0"/>
    <n v="0"/>
    <n v="21"/>
    <n v="0"/>
    <n v="0"/>
    <n v="0"/>
    <n v="21"/>
    <n v="0"/>
    <n v="1"/>
    <n v="0"/>
    <n v="1"/>
  </r>
  <r>
    <x v="2"/>
    <s v="Sub District Hospital"/>
    <x v="80"/>
    <s v="SUNAG ORTHO CARE &amp; MULTISPECIALITY PVT HOSPITAL"/>
    <x v="1"/>
    <x v="12"/>
    <n v="0"/>
    <n v="0"/>
    <n v="0"/>
    <n v="0"/>
    <n v="0"/>
    <n v="0"/>
    <n v="0"/>
    <n v="0"/>
    <n v="0"/>
    <n v="0"/>
    <n v="0"/>
    <n v="0"/>
    <n v="0"/>
    <n v="0"/>
    <x v="0"/>
    <n v="0"/>
    <n v="0"/>
    <n v="0"/>
    <n v="0"/>
    <n v="0"/>
    <n v="0"/>
    <n v="0"/>
    <n v="0"/>
    <n v="0"/>
    <n v="0"/>
    <n v="0"/>
    <n v="0"/>
    <n v="0"/>
    <n v="0"/>
    <n v="0"/>
    <n v="0"/>
    <n v="0"/>
    <n v="0"/>
    <n v="0"/>
    <n v="0"/>
    <n v="0"/>
    <n v="0"/>
    <n v="0"/>
    <n v="0"/>
    <n v="0"/>
    <n v="0"/>
    <n v="0"/>
    <n v="0"/>
    <n v="0"/>
    <n v="0"/>
  </r>
  <r>
    <x v="2"/>
    <s v="District Hospital"/>
    <x v="81"/>
    <s v="FRU UDUPI DISTRICT HOSPITAL"/>
    <x v="0"/>
    <x v="12"/>
    <n v="0"/>
    <n v="0"/>
    <n v="0"/>
    <n v="0"/>
    <n v="0"/>
    <n v="6053"/>
    <n v="94"/>
    <n v="103"/>
    <n v="39"/>
    <n v="868"/>
    <n v="868"/>
    <n v="708"/>
    <n v="1578"/>
    <n v="808"/>
    <x v="1"/>
    <n v="3"/>
    <n v="0"/>
    <n v="908"/>
    <n v="764"/>
    <n v="4"/>
    <n v="4"/>
    <n v="530"/>
    <n v="10"/>
    <n v="4"/>
    <n v="21"/>
    <n v="544"/>
    <n v="0"/>
    <n v="0"/>
    <n v="0"/>
    <n v="0"/>
    <n v="0"/>
    <n v="40"/>
    <n v="40"/>
    <n v="13"/>
    <n v="0"/>
    <n v="1"/>
    <n v="0"/>
    <n v="0"/>
    <n v="0"/>
    <n v="0"/>
    <n v="0"/>
    <n v="522"/>
    <n v="88"/>
    <n v="31"/>
    <n v="16"/>
  </r>
  <r>
    <x v="2"/>
    <s v="District Hospital"/>
    <x v="81"/>
    <s v="Udupi (GKSSMHA) MCH wing"/>
    <x v="0"/>
    <x v="12"/>
    <n v="0"/>
    <n v="0"/>
    <n v="0"/>
    <n v="0"/>
    <n v="0"/>
    <n v="2753"/>
    <n v="38"/>
    <n v="48"/>
    <n v="26"/>
    <n v="346"/>
    <n v="346"/>
    <n v="0"/>
    <n v="1381"/>
    <n v="3"/>
    <x v="0"/>
    <n v="5"/>
    <n v="0"/>
    <n v="641"/>
    <n v="368"/>
    <n v="3"/>
    <n v="7"/>
    <n v="222"/>
    <n v="4"/>
    <n v="2"/>
    <n v="15"/>
    <n v="300"/>
    <n v="0"/>
    <n v="0"/>
    <n v="0"/>
    <n v="0"/>
    <n v="0"/>
    <n v="12"/>
    <n v="12"/>
    <n v="6"/>
    <n v="6"/>
    <n v="0"/>
    <n v="0"/>
    <n v="0"/>
    <n v="0"/>
    <n v="0"/>
    <n v="0"/>
    <n v="211"/>
    <n v="30"/>
    <n v="18"/>
    <n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476B1AF-AD44-4257-9899-813626EE1471}" name="PW new registere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dataField="1" showAll="0">
      <items count="88">
        <item x="12"/>
        <item x="61"/>
        <item x="84"/>
        <item x="29"/>
        <item x="21"/>
        <item x="60"/>
        <item x="73"/>
        <item x="13"/>
        <item x="9"/>
        <item x="5"/>
        <item x="8"/>
        <item x="44"/>
        <item x="22"/>
        <item x="11"/>
        <item x="40"/>
        <item x="20"/>
        <item x="19"/>
        <item x="6"/>
        <item x="0"/>
        <item x="16"/>
        <item x="4"/>
        <item x="1"/>
        <item x="18"/>
        <item x="10"/>
        <item x="45"/>
        <item x="3"/>
        <item x="26"/>
        <item x="15"/>
        <item x="32"/>
        <item x="42"/>
        <item x="17"/>
        <item x="30"/>
        <item x="7"/>
        <item x="31"/>
        <item x="35"/>
        <item x="27"/>
        <item x="24"/>
        <item x="63"/>
        <item x="23"/>
        <item x="28"/>
        <item x="56"/>
        <item x="38"/>
        <item x="14"/>
        <item x="64"/>
        <item x="39"/>
        <item x="41"/>
        <item x="54"/>
        <item x="57"/>
        <item x="2"/>
        <item x="50"/>
        <item x="33"/>
        <item x="69"/>
        <item x="51"/>
        <item x="43"/>
        <item x="49"/>
        <item x="59"/>
        <item x="58"/>
        <item x="76"/>
        <item x="66"/>
        <item x="55"/>
        <item x="68"/>
        <item x="48"/>
        <item x="62"/>
        <item x="37"/>
        <item x="53"/>
        <item x="79"/>
        <item x="52"/>
        <item x="82"/>
        <item x="75"/>
        <item x="81"/>
        <item x="25"/>
        <item x="65"/>
        <item x="36"/>
        <item x="74"/>
        <item x="67"/>
        <item x="77"/>
        <item x="78"/>
        <item x="71"/>
        <item x="80"/>
        <item x="70"/>
        <item x="47"/>
        <item x="72"/>
        <item x="34"/>
        <item x="85"/>
        <item x="46"/>
        <item x="86"/>
        <item x="8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Total number of NEW Pregnant Women registered for ANC "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EE4B8F1-B4E0-42D6-B9F1-B5A10F227CCE}" name="PW registered by age"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1:D5"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items count="88">
        <item x="12"/>
        <item x="61"/>
        <item x="84"/>
        <item x="29"/>
        <item x="21"/>
        <item x="60"/>
        <item x="73"/>
        <item x="13"/>
        <item x="9"/>
        <item x="5"/>
        <item x="8"/>
        <item x="44"/>
        <item x="22"/>
        <item x="11"/>
        <item x="40"/>
        <item x="20"/>
        <item x="19"/>
        <item x="6"/>
        <item x="0"/>
        <item x="16"/>
        <item x="4"/>
        <item x="1"/>
        <item x="18"/>
        <item x="10"/>
        <item x="45"/>
        <item x="3"/>
        <item x="26"/>
        <item x="15"/>
        <item x="32"/>
        <item x="42"/>
        <item x="17"/>
        <item x="30"/>
        <item x="7"/>
        <item x="31"/>
        <item x="35"/>
        <item x="27"/>
        <item x="24"/>
        <item x="63"/>
        <item x="23"/>
        <item x="28"/>
        <item x="56"/>
        <item x="38"/>
        <item x="14"/>
        <item x="64"/>
        <item x="39"/>
        <item x="41"/>
        <item x="54"/>
        <item x="57"/>
        <item x="2"/>
        <item x="50"/>
        <item x="33"/>
        <item x="69"/>
        <item x="51"/>
        <item x="43"/>
        <item x="49"/>
        <item x="59"/>
        <item x="58"/>
        <item x="76"/>
        <item x="66"/>
        <item x="55"/>
        <item x="68"/>
        <item x="48"/>
        <item x="62"/>
        <item x="37"/>
        <item x="53"/>
        <item x="79"/>
        <item x="52"/>
        <item x="82"/>
        <item x="75"/>
        <item x="81"/>
        <item x="25"/>
        <item x="65"/>
        <item x="36"/>
        <item x="74"/>
        <item x="67"/>
        <item x="77"/>
        <item x="78"/>
        <item x="71"/>
        <item x="80"/>
        <item x="70"/>
        <item x="47"/>
        <item x="72"/>
        <item x="34"/>
        <item x="85"/>
        <item x="46"/>
        <item x="86"/>
        <item x="83"/>
        <item t="default"/>
      </items>
    </pivotField>
    <pivotField dataField="1" showAll="0"/>
    <pivotField dataField="1"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3">
    <i>
      <x/>
    </i>
    <i i="1">
      <x v="1"/>
    </i>
    <i i="2">
      <x v="2"/>
    </i>
  </colItems>
  <dataFields count="3">
    <dataField name="PW with age &lt;15 years" fld="6" baseField="0" baseItem="0"/>
    <dataField name="PW with age 15-19 years" fld="7" baseField="0" baseItem="0"/>
    <dataField name="PW with age &gt;49 years" fld="9"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10" format="6"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1"/>
          </reference>
        </references>
      </pivotArea>
    </chartFormat>
    <chartFormat chart="10"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D1DCF0-2B55-47EF-969C-5691A9EEFDDF}" name="PW registered by T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5"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3">
    <i>
      <x/>
    </i>
    <i i="1">
      <x v="1"/>
    </i>
    <i i="2">
      <x v="2"/>
    </i>
  </colItems>
  <dataFields count="3">
    <dataField name="PW given Td1 (Tetanus Diptheria dose 1)" fld="12" baseField="0" baseItem="0"/>
    <dataField name="PW given Td2 (Tetanus Diptheria dose 2)" fld="13" baseField="0" baseItem="0"/>
    <dataField name="PW given Td Booster (Tetanus Diptheria dose booster)"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42A8B3A-B636-47F4-9ABC-7EC57693D5EA}" name="Total Hypertension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6:C26"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0"/>
    <field x="4"/>
  </rowFields>
  <rowItems count="10">
    <i>
      <x/>
    </i>
    <i r="1">
      <x/>
    </i>
    <i r="1">
      <x v="1"/>
    </i>
    <i>
      <x v="1"/>
    </i>
    <i r="1">
      <x/>
    </i>
    <i r="1">
      <x v="1"/>
    </i>
    <i>
      <x v="2"/>
    </i>
    <i r="1">
      <x/>
    </i>
    <i r="1">
      <x v="1"/>
    </i>
    <i t="grand">
      <x/>
    </i>
  </rowItems>
  <colFields count="1">
    <field x="-2"/>
  </colFields>
  <colItems count="2">
    <i>
      <x/>
    </i>
    <i i="1">
      <x v="1"/>
    </i>
  </colItems>
  <dataFields count="2">
    <dataField name="PW with hypertension managed at institution " fld="21" baseField="0" baseItem="0"/>
    <dataField name="PW having Eclampsia cases managed during delivery" fld="22" baseField="0" baseItem="0"/>
  </dataFields>
  <chartFormats count="19">
    <chartFormat chart="4"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1"/>
          </reference>
        </references>
      </pivotArea>
    </chartFormat>
    <chartFormat chart="4" format="2">
      <pivotArea type="data" outline="0" fieldPosition="0">
        <references count="3">
          <reference field="4294967294" count="1" selected="0">
            <x v="0"/>
          </reference>
          <reference field="0" count="1" selected="0">
            <x v="0"/>
          </reference>
          <reference field="4" count="1" selected="0">
            <x v="1"/>
          </reference>
        </references>
      </pivotArea>
    </chartFormat>
    <chartFormat chart="4" format="3">
      <pivotArea type="data" outline="0" fieldPosition="0">
        <references count="3">
          <reference field="4294967294" count="1" selected="0">
            <x v="0"/>
          </reference>
          <reference field="0" count="1" selected="0">
            <x v="2"/>
          </reference>
          <reference field="4" count="1" selected="0">
            <x v="1"/>
          </reference>
        </references>
      </pivotArea>
    </chartFormat>
    <chartFormat chart="4" format="4">
      <pivotArea type="data" outline="0" fieldPosition="0">
        <references count="3">
          <reference field="4294967294" count="1" selected="0">
            <x v="1"/>
          </reference>
          <reference field="0" count="1" selected="0">
            <x v="2"/>
          </reference>
          <reference field="4" count="1" selected="0">
            <x v="1"/>
          </reference>
        </references>
      </pivotArea>
    </chartFormat>
    <chartFormat chart="4" format="3">
      <pivotArea type="data" outline="0" fieldPosition="0">
        <references count="3">
          <reference field="4294967294" count="1" selected="0">
            <x v="0"/>
          </reference>
          <reference field="0" count="1" selected="0">
            <x v="1"/>
          </reference>
          <reference field="4" count="1" selected="0">
            <x v="0"/>
          </reference>
        </references>
      </pivotArea>
    </chartFormat>
    <chartFormat chart="4" format="4">
      <pivotArea type="data" outline="0" fieldPosition="0">
        <references count="3">
          <reference field="4294967294" count="1" selected="0">
            <x v="0"/>
          </reference>
          <reference field="0" count="1" selected="0">
            <x v="0"/>
          </reference>
          <reference field="4" count="1" selected="0">
            <x v="0"/>
          </reference>
        </references>
      </pivotArea>
    </chartFormat>
    <chartFormat chart="4" format="5">
      <pivotArea type="data" outline="0" fieldPosition="0">
        <references count="3">
          <reference field="4294967294" count="1" selected="0">
            <x v="1"/>
          </reference>
          <reference field="0" count="1" selected="0">
            <x v="0"/>
          </reference>
          <reference field="4" count="1" selected="0">
            <x v="1"/>
          </reference>
        </references>
      </pivotArea>
    </chartFormat>
    <chartFormat chart="4" format="6">
      <pivotArea type="data" outline="0" fieldPosition="0">
        <references count="3">
          <reference field="4294967294" count="1" selected="0">
            <x v="0"/>
          </reference>
          <reference field="0" count="1" selected="0">
            <x v="1"/>
          </reference>
          <reference field="4" count="1" selected="0">
            <x v="1"/>
          </reference>
        </references>
      </pivotArea>
    </chartFormat>
    <chartFormat chart="4" format="7">
      <pivotArea type="data" outline="0" fieldPosition="0">
        <references count="3">
          <reference field="4294967294" count="1" selected="0">
            <x v="0"/>
          </reference>
          <reference field="0" count="1" selected="0">
            <x v="2"/>
          </reference>
          <reference field="4" count="1" selected="0">
            <x v="0"/>
          </reference>
        </references>
      </pivotArea>
    </chartFormat>
    <chartFormat chart="10" format="17" series="1">
      <pivotArea type="data" outline="0" fieldPosition="0">
        <references count="1">
          <reference field="4294967294" count="1" selected="0">
            <x v="0"/>
          </reference>
        </references>
      </pivotArea>
    </chartFormat>
    <chartFormat chart="10" format="18">
      <pivotArea type="data" outline="0" fieldPosition="0">
        <references count="3">
          <reference field="4294967294" count="1" selected="0">
            <x v="0"/>
          </reference>
          <reference field="0" count="1" selected="0">
            <x v="0"/>
          </reference>
          <reference field="4" count="1" selected="0">
            <x v="0"/>
          </reference>
        </references>
      </pivotArea>
    </chartFormat>
    <chartFormat chart="10" format="19">
      <pivotArea type="data" outline="0" fieldPosition="0">
        <references count="3">
          <reference field="4294967294" count="1" selected="0">
            <x v="0"/>
          </reference>
          <reference field="0" count="1" selected="0">
            <x v="0"/>
          </reference>
          <reference field="4" count="1" selected="0">
            <x v="1"/>
          </reference>
        </references>
      </pivotArea>
    </chartFormat>
    <chartFormat chart="10" format="20">
      <pivotArea type="data" outline="0" fieldPosition="0">
        <references count="3">
          <reference field="4294967294" count="1" selected="0">
            <x v="0"/>
          </reference>
          <reference field="0" count="1" selected="0">
            <x v="1"/>
          </reference>
          <reference field="4" count="1" selected="0">
            <x v="0"/>
          </reference>
        </references>
      </pivotArea>
    </chartFormat>
    <chartFormat chart="10" format="21">
      <pivotArea type="data" outline="0" fieldPosition="0">
        <references count="3">
          <reference field="4294967294" count="1" selected="0">
            <x v="0"/>
          </reference>
          <reference field="0" count="1" selected="0">
            <x v="1"/>
          </reference>
          <reference field="4" count="1" selected="0">
            <x v="1"/>
          </reference>
        </references>
      </pivotArea>
    </chartFormat>
    <chartFormat chart="10" format="22">
      <pivotArea type="data" outline="0" fieldPosition="0">
        <references count="3">
          <reference field="4294967294" count="1" selected="0">
            <x v="0"/>
          </reference>
          <reference field="0" count="1" selected="0">
            <x v="2"/>
          </reference>
          <reference field="4" count="1" selected="0">
            <x v="0"/>
          </reference>
        </references>
      </pivotArea>
    </chartFormat>
    <chartFormat chart="10" format="23">
      <pivotArea type="data" outline="0" fieldPosition="0">
        <references count="3">
          <reference field="4294967294" count="1" selected="0">
            <x v="0"/>
          </reference>
          <reference field="0" count="1" selected="0">
            <x v="2"/>
          </reference>
          <reference field="4" count="1" selected="0">
            <x v="1"/>
          </reference>
        </references>
      </pivotArea>
    </chartFormat>
    <chartFormat chart="10" format="24" series="1">
      <pivotArea type="data" outline="0" fieldPosition="0">
        <references count="1">
          <reference field="4294967294" count="1" selected="0">
            <x v="1"/>
          </reference>
        </references>
      </pivotArea>
    </chartFormat>
    <chartFormat chart="10" format="25">
      <pivotArea type="data" outline="0" fieldPosition="0">
        <references count="3">
          <reference field="4294967294" count="1" selected="0">
            <x v="1"/>
          </reference>
          <reference field="0" count="1" selected="0">
            <x v="0"/>
          </reference>
          <reference field="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A3D9E0-61A7-4E6B-BCBE-BC0F02847EE2}" name="Total Hypertension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W with hypertension detected "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E49673-3871-4D29-91FC-981B4FDE611A}" name="Hb records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10:C14"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PW having Hb level&lt;=7 g/dl" fld="25" baseField="0" baseItem="0"/>
    <dataField name="PW treated for severe anaemia (Hb&lt;=7g/dl)" fld="26" baseField="0" baseItem="0"/>
  </dataFields>
  <chartFormats count="6">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18" format="5" series="1">
      <pivotArea type="data" outline="0" fieldPosition="0">
        <references count="1">
          <reference field="4294967294" count="1" selected="0">
            <x v="0"/>
          </reference>
        </references>
      </pivotArea>
    </chartFormat>
    <chartFormat chart="18" format="6" series="1">
      <pivotArea type="data" outline="0" fieldPosition="0">
        <references count="1">
          <reference field="4294967294" count="1" selected="0">
            <x v="1"/>
          </reference>
        </references>
      </pivotArea>
    </chartFormat>
    <chartFormat chart="25" format="6" series="1">
      <pivotArea type="data" outline="0" fieldPosition="0">
        <references count="1">
          <reference field="4294967294" count="1" selected="0">
            <x v="0"/>
          </reference>
        </references>
      </pivotArea>
    </chartFormat>
    <chartFormat chart="25" format="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108DCFA-B967-4358-89D1-FEC195F00D25}" name="Hb records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B6"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W tested for Haemoglobin (Hb ) 4 or more than 4 times for respective ANCs" fld="2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3ED8953-3602-4D1D-8B47-A5D1582EC67B}" name="Diabetics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W tested positive for GDM out of total OGTT(Oral Glucose Tolerance Test) conducted" fld="2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6AE7BD9-8C88-4AC9-A611-1D0CD71282DA}" name="Diabetics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11:D15"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3">
    <i>
      <x/>
    </i>
    <i i="1">
      <x v="1"/>
    </i>
    <i i="2">
      <x v="2"/>
    </i>
  </colItems>
  <dataFields count="3">
    <dataField name="PW tested positive for GDM out of total OGTT(Oral Glucose Tolerance Test) conducted" fld="28" baseField="0" baseItem="0"/>
    <dataField name="PW given Insulin out of total tested positive for GDM" fld="29" baseField="0" baseItem="0"/>
    <dataField name="PW given Metformin out of total tested positive for GDM" fld="3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8218A639-63F3-4C7D-A7FC-BA3E070E260B}" name="Syphilis records"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W found Seropositive for Syphilis by VDRL/RPR/TPHA/RDT/PoC test" fld="3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866D7B5-0ED1-46D0-B44D-8A63ED24AA59}" name="TB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regnant Women identified  with Presumptive TB symptoms" fld="4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6937D78-EACA-4382-A8F3-5D1EAFDF1823}" name="TD"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J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Pregnant Women tested positive for Thyroid disorder" fld="3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EBF9FEE-A3A3-4E2C-BECF-7A292EE68E91}" name="TB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C13"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Fields count="1">
    <field x="-2"/>
  </colFields>
  <colItems count="2">
    <i>
      <x/>
    </i>
    <i i="1">
      <x v="1"/>
    </i>
  </colItems>
  <dataFields count="2">
    <dataField name="PW identified  with Presumptive TB symptoms" fld="40" baseField="0" baseItem="0"/>
    <dataField name="PW referred out of those identified with Presumptive TB symptoms " fld="4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A4AE74C-795D-4F73-A42D-E357217F20A1}" name="HRP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5"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s>
  <rowFields count="1">
    <field x="0"/>
  </rowFields>
  <rowItems count="4">
    <i>
      <x/>
    </i>
    <i>
      <x v="1"/>
    </i>
    <i>
      <x v="2"/>
    </i>
    <i t="grand">
      <x/>
    </i>
  </rowItems>
  <colItems count="1">
    <i/>
  </colItems>
  <dataFields count="1">
    <dataField name="HRP Intrapartum " fld="4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C5B97B85-462C-49DE-BAFF-53C5D1DF09BF}" name="HRP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E17" firstHeaderRow="0"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s>
  <rowFields count="1">
    <field x="0"/>
  </rowFields>
  <rowItems count="4">
    <i>
      <x/>
    </i>
    <i>
      <x v="1"/>
    </i>
    <i>
      <x v="2"/>
    </i>
    <i t="grand">
      <x/>
    </i>
  </rowItems>
  <colFields count="1">
    <field x="-2"/>
  </colFields>
  <colItems count="4">
    <i>
      <x/>
    </i>
    <i i="1">
      <x v="1"/>
    </i>
    <i i="2">
      <x v="2"/>
    </i>
    <i i="3">
      <x v="3"/>
    </i>
  </colItems>
  <dataFields count="4">
    <dataField name="PW with Post-Partum Haemorrhage" fld="43" baseField="0" baseItem="0"/>
    <dataField name="PW with Sepsis in the facility." fld="44" baseField="0" baseItem="0"/>
    <dataField name="PW identified with Eclampsia" fld="45" baseField="0" baseItem="0"/>
    <dataField name="PW identified with obstructed labour" fld="4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4B38A40-4A96-493D-B9BB-2ABB3BE0BC60}" name="HRP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0:B24" firstHeaderRow="1" firstDataRow="1" firstDataCol="1"/>
  <pivotFields count="51">
    <pivotField axis="axisRow" showAll="0">
      <items count="4">
        <item x="0"/>
        <item x="1"/>
        <item x="2"/>
        <item t="default"/>
      </items>
    </pivotField>
    <pivotField showAll="0"/>
    <pivotField showAll="0">
      <items count="83">
        <item x="2"/>
        <item x="31"/>
        <item x="51"/>
        <item x="3"/>
        <item x="15"/>
        <item x="56"/>
        <item x="34"/>
        <item x="4"/>
        <item x="29"/>
        <item x="41"/>
        <item x="52"/>
        <item x="81"/>
        <item x="23"/>
        <item x="11"/>
        <item x="6"/>
        <item x="18"/>
        <item x="39"/>
        <item x="19"/>
        <item x="40"/>
        <item x="32"/>
        <item x="26"/>
        <item x="1"/>
        <item x="69"/>
        <item x="7"/>
        <item x="72"/>
        <item x="8"/>
        <item x="9"/>
        <item x="10"/>
        <item x="35"/>
        <item x="55"/>
        <item x="21"/>
        <item x="64"/>
        <item x="37"/>
        <item x="71"/>
        <item x="27"/>
        <item x="42"/>
        <item x="60"/>
        <item x="61"/>
        <item x="58"/>
        <item x="24"/>
        <item x="43"/>
        <item x="53"/>
        <item x="44"/>
        <item x="62"/>
        <item x="75"/>
        <item x="14"/>
        <item x="38"/>
        <item x="45"/>
        <item x="48"/>
        <item x="13"/>
        <item x="73"/>
        <item x="59"/>
        <item x="74"/>
        <item x="70"/>
        <item x="25"/>
        <item x="66"/>
        <item x="68"/>
        <item x="0"/>
        <item x="22"/>
        <item x="17"/>
        <item x="77"/>
        <item x="78"/>
        <item x="46"/>
        <item x="20"/>
        <item x="79"/>
        <item x="47"/>
        <item x="5"/>
        <item x="65"/>
        <item x="12"/>
        <item x="67"/>
        <item x="50"/>
        <item x="16"/>
        <item x="49"/>
        <item x="54"/>
        <item x="57"/>
        <item x="33"/>
        <item x="28"/>
        <item x="63"/>
        <item x="30"/>
        <item x="80"/>
        <item x="76"/>
        <item x="36"/>
        <item t="default"/>
      </items>
    </pivotField>
    <pivotField showAll="0"/>
    <pivotField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Fields count="1">
    <field x="0"/>
  </rowFields>
  <rowItems count="4">
    <i>
      <x/>
    </i>
    <i>
      <x v="1"/>
    </i>
    <i>
      <x v="2"/>
    </i>
    <i t="grand">
      <x/>
    </i>
  </rowItems>
  <colItems count="1">
    <i/>
  </colItems>
  <dataFields count="1">
    <dataField name="HRP Antepartum" fld="4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C_Name" xr10:uid="{00627484-1ACD-4939-A336-C5BD9CEDC111}" sourceName="PHC Name">
  <pivotTables>
    <pivotTable tabId="2" name="PW new registered"/>
    <pivotTable tabId="8" name="Diabetics1"/>
    <pivotTable tabId="8" name="Diabetics2"/>
    <pivotTable tabId="7" name="Hb records1"/>
    <pivotTable tabId="7" name="Hb records2"/>
    <pivotTable tabId="11" name="HRP1"/>
    <pivotTable tabId="11" name="HRP2"/>
    <pivotTable tabId="11" name="HRP3"/>
    <pivotTable tabId="6" name="Total Hypertension1"/>
    <pivotTable tabId="6" name="Total Hypertension2"/>
    <pivotTable tabId="4" name="PW registered by age"/>
    <pivotTable tabId="5" name="PW registered by TD"/>
    <pivotTable tabId="9" name="Syphilis records"/>
    <pivotTable tabId="10" name="TB1"/>
    <pivotTable tabId="10" name="TB2"/>
    <pivotTable tabId="10" name="TD"/>
  </pivotTables>
  <data>
    <tabular pivotCacheId="1973125048">
      <items count="82">
        <i x="2" s="1"/>
        <i x="31" s="1"/>
        <i x="51" s="1"/>
        <i x="3" s="1"/>
        <i x="15" s="1"/>
        <i x="56" s="1"/>
        <i x="34" s="1"/>
        <i x="4" s="1"/>
        <i x="29" s="1"/>
        <i x="41" s="1"/>
        <i x="52" s="1"/>
        <i x="81" s="1"/>
        <i x="23" s="1"/>
        <i x="11" s="1"/>
        <i x="6" s="1"/>
        <i x="18" s="1"/>
        <i x="39" s="1"/>
        <i x="19" s="1"/>
        <i x="40" s="1"/>
        <i x="32" s="1"/>
        <i x="26" s="1"/>
        <i x="1" s="1"/>
        <i x="69" s="1"/>
        <i x="7" s="1"/>
        <i x="72" s="1"/>
        <i x="8" s="1"/>
        <i x="9" s="1"/>
        <i x="10" s="1"/>
        <i x="35" s="1"/>
        <i x="55" s="1"/>
        <i x="21" s="1"/>
        <i x="64" s="1"/>
        <i x="37" s="1"/>
        <i x="71" s="1"/>
        <i x="27" s="1"/>
        <i x="42" s="1"/>
        <i x="60" s="1"/>
        <i x="61" s="1"/>
        <i x="58" s="1"/>
        <i x="24" s="1"/>
        <i x="43" s="1"/>
        <i x="53" s="1"/>
        <i x="44" s="1"/>
        <i x="62" s="1"/>
        <i x="75" s="1"/>
        <i x="14" s="1"/>
        <i x="38" s="1"/>
        <i x="45" s="1"/>
        <i x="48" s="1"/>
        <i x="13" s="1"/>
        <i x="73" s="1"/>
        <i x="59" s="1"/>
        <i x="74" s="1"/>
        <i x="70" s="1"/>
        <i x="25" s="1"/>
        <i x="66" s="1"/>
        <i x="68" s="1"/>
        <i x="0" s="1"/>
        <i x="22" s="1"/>
        <i x="17" s="1"/>
        <i x="77" s="1"/>
        <i x="78" s="1"/>
        <i x="46" s="1"/>
        <i x="20" s="1"/>
        <i x="79" s="1"/>
        <i x="47" s="1"/>
        <i x="5" s="1"/>
        <i x="65" s="1"/>
        <i x="12" s="1"/>
        <i x="67" s="1"/>
        <i x="50" s="1"/>
        <i x="16" s="1"/>
        <i x="49" s="1"/>
        <i x="54" s="1"/>
        <i x="57" s="1"/>
        <i x="33" s="1"/>
        <i x="28" s="1"/>
        <i x="63" s="1"/>
        <i x="30" s="1"/>
        <i x="80" s="1"/>
        <i x="76" s="1"/>
        <i x="36"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District___ULB_Name2" xr10:uid="{8E8FA689-B1F0-46E2-9555-0B5C24411AFE}" sourceName="Sub-District / ULB Name">
  <pivotTables>
    <pivotTable tabId="4" name="PW registered by age"/>
    <pivotTable tabId="8" name="Diabetics1"/>
    <pivotTable tabId="8" name="Diabetics2"/>
    <pivotTable tabId="7" name="Hb records1"/>
    <pivotTable tabId="7" name="Hb records2"/>
    <pivotTable tabId="11" name="HRP1"/>
    <pivotTable tabId="11" name="HRP2"/>
    <pivotTable tabId="11" name="HRP3"/>
    <pivotTable tabId="6" name="Total Hypertension1"/>
    <pivotTable tabId="6" name="Total Hypertension2"/>
    <pivotTable tabId="2" name="PW new registered"/>
    <pivotTable tabId="5" name="PW registered by TD"/>
    <pivotTable tabId="9" name="Syphilis records"/>
    <pivotTable tabId="10" name="TB1"/>
    <pivotTable tabId="10" name="TB2"/>
    <pivotTable tabId="10" name="TD"/>
  </pivotTables>
  <data>
    <tabular pivotCacheId="19731250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wnership" xr10:uid="{7A3494F7-6E99-4D15-9BE2-511845EF0954}" sourceName="Ownership">
  <pivotTables>
    <pivotTable tabId="2" name="PW new registered"/>
    <pivotTable tabId="8" name="Diabetics1"/>
    <pivotTable tabId="8" name="Diabetics2"/>
    <pivotTable tabId="7" name="Hb records1"/>
    <pivotTable tabId="7" name="Hb records2"/>
    <pivotTable tabId="11" name="HRP1"/>
    <pivotTable tabId="11" name="HRP2"/>
    <pivotTable tabId="11" name="HRP3"/>
    <pivotTable tabId="6" name="Total Hypertension1"/>
    <pivotTable tabId="6" name="Total Hypertension2"/>
    <pivotTable tabId="4" name="PW registered by age"/>
    <pivotTable tabId="5" name="PW registered by TD"/>
    <pivotTable tabId="9" name="Syphilis records"/>
    <pivotTable tabId="10" name="TB1"/>
    <pivotTable tabId="10" name="TB2"/>
    <pivotTable tabId="10" name="TD"/>
  </pivotTables>
  <data>
    <tabular pivotCacheId="1973125048">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C Name 3" xr10:uid="{3222EB0C-83A7-453F-ADC9-CC14559E9F37}" cache="Slicer_PHC_Name" startItem="18" style="Slicer" rowHeight="234950"/>
  <slicer name="Sub-District / ULB Name 3" xr10:uid="{962EAC54-3D2B-41AF-AEAF-50C7E32A7B26}" cache="Slicer_Sub_District___ULB_Name2" style="Slicer" rowHeight="234950"/>
  <slicer name="Ownership 1" xr10:uid="{96BDD95B-EE2A-48EB-AE83-8058D191D23F}" cache="Slicer_Ownership" style="Slicer"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HC Name 1" xr10:uid="{C7B16BFE-C28D-4E33-A86B-C6418078766D}" cache="Slicer_PHC_Name" caption="PHC Name" startItem="10" rowHeight="234950"/>
  <slicer name="Sub-District / ULB Name 1" xr10:uid="{C39142F3-1DDD-4A48-8309-41DBB502CBF6}" cache="Slicer_Sub_District___ULB_Name2" caption="Sub-District / ULB Nam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8C5F427-54FB-4CFA-9EA2-35745C6710E1}" name="_ANC" displayName="_ANC" ref="A1:AY485" totalsRowShown="0">
  <autoFilter ref="A1:AY485" xr:uid="{08C5F427-54FB-4CFA-9EA2-35745C6710E1}"/>
  <tableColumns count="51">
    <tableColumn id="1" xr3:uid="{712C728B-5B35-4ECB-9C2D-4A28001B64A9}" name="Sub-District / ULB Name"/>
    <tableColumn id="2" xr3:uid="{9DD11A99-3696-4E1F-93B3-8E374E5A4E79}" name="Facility Type"/>
    <tableColumn id="3" xr3:uid="{93B9A5CC-676C-4349-8E6F-7AD32D9165CC}" name="PHC Name"/>
    <tableColumn id="4" xr3:uid="{8293A487-D5CA-4753-977E-6575848E6EA4}" name="Facility Name"/>
    <tableColumn id="5" xr3:uid="{3EFC66D9-1E67-4A2A-9A3F-A65365FFB2AF}" name="Ownership"/>
    <tableColumn id="6" xr3:uid="{DFC3BCF1-1054-4827-BBC1-695C79EBFACB}" name="1.1 :: Total number of NEW Pregnant Women registered for ANC "/>
    <tableColumn id="7" xr3:uid="{D0655095-BD2A-4E97-9ECB-65B4E6D00AE1}" name="1.1.a :: Out of total number of NEW Pregnant Women registered with age &lt;15 years"/>
    <tableColumn id="8" xr3:uid="{BF91A04E-68A6-4C68-9AE7-1350F4E922FE}" name="1.1.b :: Out of total number of NEW Pregnant Women registered with age 15-19 years"/>
    <tableColumn id="9" xr3:uid="{4B729E18-2A0C-42B7-A3D9-575934A56606}" name="1.1.c :: Out of total number of NEW Pregnant Women registered with age &gt;19 to 49 years"/>
    <tableColumn id="10" xr3:uid="{7EBB9703-AEF4-4E55-ABB5-E0C8739A03F8}" name="1.1.d :: Out of total number of NEW Pregnant Women registered with age &gt;49 years"/>
    <tableColumn id="11" xr3:uid="{3899208E-FEE1-47C3-8341-29FFC554336C}" name="1.1.1 :: Out of the total NEW ANC registered, number registered within 1st trimester (within 12 weeks)"/>
    <tableColumn id="12" xr3:uid="{5FBFDE39-B5E2-4360-8508-E7AB5FF239ED}" name="1.1.2 :: Total ANC footfall/cases (Old cases + New Registration) attended "/>
    <tableColumn id="13" xr3:uid="{19CFF6F5-BC71-4C9A-9BEC-592480F11902}" name="1.2.1 :: Number of PW given Td1 (Tetanus Diptheria dose 1)"/>
    <tableColumn id="14" xr3:uid="{4FD6FE10-81D5-47E5-A2B5-F7CC7D4105F2}" name="1.2.2 :: Number of PW given Td2 (Tetanus Diptheria dose 2)"/>
    <tableColumn id="15" xr3:uid="{455E7195-26EA-44A9-A393-9CD05C14445D}" name="1.2.3 :: Number of PW given Td Booster (Tetanus Diptheria dose booster)"/>
    <tableColumn id="16" xr3:uid="{7279B1E0-E7C6-4324-BAF9-E956F18BB00F}" name="1.2.4 :: Number of PW provided full course 180 Iron Folic Acid (IFA) tablets "/>
    <tableColumn id="17" xr3:uid="{3F2AE370-50E3-4654-BC9C-7408D1822AC0}" name="1.2.5 :: Number of PW provided full course 360 Calcium tablets "/>
    <tableColumn id="18" xr3:uid="{8F874017-3F4F-492D-AF62-76C5761CEC61}" name="1.2.6 :: Number of PW given one Albendazole tablet after 1st trimester"/>
    <tableColumn id="19" xr3:uid="{1FD76C61-DEC9-43A4-AEB7-D40724DC51C3}" name="1.2.7 :: Number of PW received 4 or more ANC check ups"/>
    <tableColumn id="20" xr3:uid="{4956D9A4-82B8-4621-AC98-0B2F86C75EDD}" name="1.2.8 :: Number of PW given ANC Corticosteroids in Pre-Term Labour"/>
    <tableColumn id="21" xr3:uid="{11964397-F078-48E3-A05F-37260A3CEBE4}" name="1.3.1 :: New cases of PW with hypertension detected "/>
    <tableColumn id="22" xr3:uid="{4C990A97-B549-44C9-89BE-16CBA44399AD}" name="1.3.1.a :: Number of PW with hypertension managed at institution "/>
    <tableColumn id="23" xr3:uid="{0DB56329-1CEC-402D-8AB7-CB5DFBF923EF}" name="1.3.2 :: Number of Eclampsia cases managed during delivery"/>
    <tableColumn id="24" xr3:uid="{403C0F36-325F-4141-BDB3-25261EDAFE99}" name="1.4.1 :: Number of PW tested for Haemoglobin (Hb ) 4 or more than 4 times for respective ANCs"/>
    <tableColumn id="25" xr3:uid="{678F6B8D-ABCC-4221-83E8-6567844CA1ED}" name="1.4.2 :: Number of PW having Hb level&lt;11(7.1 to 10.9 g/dl) (Out of total tested cases)"/>
    <tableColumn id="26" xr3:uid="{7950A9EE-3EEC-4CD6-B70A-80BBAE571BDB}" name="1.4.3 :: Number of PW having Hb level&lt;=7 g/dl (Out of total tested cases)"/>
    <tableColumn id="27" xr3:uid="{7E09949D-22FD-4377-9607-DCF1698B5376}" name="1.4.4 :: Number of PW treated for severe anaemia (Hb&lt;=7g/dl) (Out of total tested cases)"/>
    <tableColumn id="28" xr3:uid="{AC5CD0D3-AF4F-4968-9211-FA78F57B607C}" name="1.5.1 :: Number of PW tested for Blood Sugar using OGTT(Oral Glucose Tolerance Test)"/>
    <tableColumn id="29" xr3:uid="{E9471D90-B6C0-4022-90F3-CBBA5C20A586}" name="1.5.2 :: Number of PW tested positive for GDM out of total OGTT(Oral Glucose Tolerance Test) conducted"/>
    <tableColumn id="30" xr3:uid="{41DE3DC2-5D40-406E-A72B-55C9CC05DD04}" name="1.5.3 :: Number of PW given Insulin out of total tested positive for GDM"/>
    <tableColumn id="31" xr3:uid="{0836BE47-FD8A-44D8-8465-4C83815B8E78}" name="1.5.4 :: Number of PW given Metformin out of total tested positive for GDM"/>
    <tableColumn id="32" xr3:uid="{FBEEC6C0-842B-48F2-A397-B1F25A3E6BA0}" name="1.6.1.a :: Number of pregnant/Direct-In-Labor (DIL) women screened/tested (with VDRL/RPR/TPHA/RDT/PoC) for Syphilis"/>
    <tableColumn id="33" xr3:uid="{809761DC-AC20-40A5-8B3F-8B3522D1E4A8}" name="1.6.1.b :: Number of pregnant/DIL women found Seropositive for Syphilis by VDRL/RPR/TPHA/RDT/PoC test"/>
    <tableColumn id="34" xr3:uid="{4F78EEBF-97CD-43D7-BBC6-708317295C49}" name="1.6.1.c :: Number of pregnant/DIL women found Syphilis-Seropositive and given treatment with injection Benzathine Penicillin (IM)"/>
    <tableColumn id="35" xr3:uid="{8FF302DF-0093-4CF1-B0E6-28A67A451FDC}" name="1.6.1.d :: Number of live births among Syphilis Seropositive Pregnant Women"/>
    <tableColumn id="36" xr3:uid="{7C385B0A-737F-442F-A460-AAAD8557002E}" name="1.6.1.e :: Number of babies born to Syphilis-Seropositive Pregnant Women tested positive/ clinically diagnosed for congenital Syphilis "/>
    <tableColumn id="37" xr3:uid="{8EAC1026-1315-4D44-B997-4DEB0EB7EFCB}" name="1.6.1.f :: Out of above, babies with congenital Syphilis received curative treatment "/>
    <tableColumn id="38" xr3:uid="{869C3AFC-A624-469C-8CDC-1CC49C0D06F1}" name="1.7.1 :: Number of Pregnant Women tested positive for Thyroid disorder"/>
    <tableColumn id="39" xr3:uid="{D8893F5C-E716-418E-8EC7-11C2A339F216}" name="1.7.2 :: Number of Pregnant Women treated for thyroid disorder"/>
    <tableColumn id="40" xr3:uid="{69B893E9-F8C9-455E-8C2A-17ED08358BEE}" name="1.8.1 :: Number of Pregnant Women screened for TB "/>
    <tableColumn id="41" xr3:uid="{242D9148-1212-45F2-A2EE-B7C4E2CD8E35}" name="1.8.2 :: Number of Pregnant Women identified  with Presumptive TB symptoms"/>
    <tableColumn id="42" xr3:uid="{CEEFD9E1-90AF-43AE-86A3-134E43880A5B}" name="1.8.3 :: Number of Pregnant Women referred out of those identified with Presumptive TB symptoms "/>
    <tableColumn id="43" xr3:uid="{FFBB3E43-5415-4E82-8729-49E9939787B1}" name="1.9.1 :: Total High Risk Pregnancy (HRP) Intrapartum including following:"/>
    <tableColumn id="44" xr3:uid="{C96D73CA-3A79-4F99-9F31-6BE68152EF42}" name="1.9.1.a :: Number of Pregnant Women with Post-Partum Haemorrhage(Immediately after delivery) in the facility."/>
    <tableColumn id="45" xr3:uid="{91676DB9-42C7-4438-9F79-25494D89B8AE}" name="1.9.1.b :: Number of Pregnant Women with Sepsis in the facility."/>
    <tableColumn id="46" xr3:uid="{F0EBDE61-E281-4436-8A27-395E61F95DA3}" name="1.9.1.c :: Number of Pregnant Women identified with Eclampsia in the facility"/>
    <tableColumn id="47" xr3:uid="{D4AEE808-77E1-4E9E-87DC-45629CBE6E51}" name="1.9.1.d :: Number of Pregnant Women identified with obstructed labour in the facility."/>
    <tableColumn id="48" xr3:uid="{C3CDB942-B7B2-4175-AA8F-E4BEB4587F08}" name="1.9.2 :: Total High Risk Pregnancy (HRP) Antepartum (Only New Cases are to be reported)"/>
    <tableColumn id="49" xr3:uid="{5AEE32F0-0299-498A-BF6B-D520BFBE6D93}" name="1.9.3 :: Total no. of ANC or PNC cases referred to Higher/ any other  facility"/>
    <tableColumn id="50" xr3:uid="{66466489-FB33-4BC8-816F-D5A7E3754B86}" name="1.9.4 :: Total no. of ANC or PNC cases referred in to the facility"/>
    <tableColumn id="51" xr3:uid="{28F3821A-8C19-482D-977E-F8FB6260DE55}" name="1.9.5 :: Number of Complicated pregnancies treated with Blood Transfusion"/>
  </tableColumns>
  <tableStyleInfo name="TableStyleLight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7.xml"/><Relationship Id="rId1" Type="http://schemas.openxmlformats.org/officeDocument/2006/relationships/pivotTable" Target="../pivotTables/pivotTable6.xml"/><Relationship Id="rId4" Type="http://schemas.microsoft.com/office/2007/relationships/slicer" Target="../slicers/slicer2.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9.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3" Type="http://schemas.openxmlformats.org/officeDocument/2006/relationships/pivotTable" Target="../pivotTables/pivotTable13.xml"/><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11.xml.rels><?xml version="1.0" encoding="UTF-8" standalone="yes"?>
<Relationships xmlns="http://schemas.openxmlformats.org/package/2006/relationships"><Relationship Id="rId3" Type="http://schemas.openxmlformats.org/officeDocument/2006/relationships/pivotTable" Target="../pivotTables/pivotTable16.xml"/><Relationship Id="rId2" Type="http://schemas.openxmlformats.org/officeDocument/2006/relationships/pivotTable" Target="../pivotTables/pivotTable15.xml"/><Relationship Id="rId1" Type="http://schemas.openxmlformats.org/officeDocument/2006/relationships/pivotTable" Target="../pivotTables/pivotTable14.xml"/><Relationship Id="rId4"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3DC88-C46E-4EFC-8149-9BD42BF3C29D}">
  <dimension ref="AB33"/>
  <sheetViews>
    <sheetView showGridLines="0" showRowColHeaders="0" tabSelected="1" topLeftCell="A21" zoomScale="90" zoomScaleNormal="90" workbookViewId="0">
      <selection activeCell="G44" sqref="G44"/>
    </sheetView>
  </sheetViews>
  <sheetFormatPr defaultRowHeight="14.4" x14ac:dyDescent="0.3"/>
  <cols>
    <col min="1" max="16384" width="8.88671875" style="7"/>
  </cols>
  <sheetData>
    <row r="33" spans="28:28" x14ac:dyDescent="0.3">
      <c r="AB33"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Y485"/>
  <sheetViews>
    <sheetView topLeftCell="A454" workbookViewId="0">
      <selection activeCell="Y481" sqref="Y481"/>
    </sheetView>
  </sheetViews>
  <sheetFormatPr defaultRowHeight="14.4" x14ac:dyDescent="0.3"/>
  <cols>
    <col min="1" max="1" width="23.109375" customWidth="1"/>
    <col min="2" max="2" width="22.33203125" bestFit="1" customWidth="1"/>
    <col min="3" max="3" width="16.109375" customWidth="1"/>
    <col min="4" max="4" width="14.44140625" hidden="1" customWidth="1"/>
    <col min="5" max="5" width="12.33203125" hidden="1" customWidth="1"/>
    <col min="6" max="7" width="57.109375" customWidth="1"/>
    <col min="8" max="8" width="76.21875" bestFit="1" customWidth="1"/>
    <col min="9" max="9" width="79.109375" bestFit="1" customWidth="1"/>
    <col min="10" max="11" width="57.109375" customWidth="1"/>
    <col min="12" max="12" width="57.109375" hidden="1" customWidth="1"/>
    <col min="13" max="14" width="54.88671875" customWidth="1"/>
    <col min="15" max="18" width="57.109375" customWidth="1"/>
    <col min="19" max="19" width="53" customWidth="1"/>
    <col min="20" max="20" width="57.109375" hidden="1" customWidth="1"/>
    <col min="21" max="21" width="49.5546875" customWidth="1"/>
    <col min="22" max="22" width="57.109375" customWidth="1"/>
    <col min="23" max="23" width="55.44140625" customWidth="1"/>
    <col min="24" max="34" width="57.109375" customWidth="1"/>
    <col min="35" max="37" width="57.109375" hidden="1" customWidth="1"/>
    <col min="38" max="39" width="57.109375" customWidth="1"/>
    <col min="40" max="40" width="49.44140625" customWidth="1"/>
    <col min="41" max="42" width="57.109375" customWidth="1"/>
    <col min="43" max="43" width="57.109375" hidden="1" customWidth="1"/>
    <col min="44" max="44" width="57.109375" customWidth="1"/>
    <col min="45" max="46" width="57.109375" hidden="1" customWidth="1"/>
    <col min="47" max="51" width="57.109375" customWidth="1"/>
  </cols>
  <sheetData>
    <row r="1" spans="1:51" x14ac:dyDescent="0.3">
      <c r="A1" t="s">
        <v>0</v>
      </c>
      <c r="B1" t="s">
        <v>1</v>
      </c>
      <c r="C1" t="s">
        <v>2</v>
      </c>
      <c r="D1" t="s">
        <v>3</v>
      </c>
      <c r="E1" t="s">
        <v>4</v>
      </c>
      <c r="F1" s="9"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row>
    <row r="2" spans="1:51" x14ac:dyDescent="0.3">
      <c r="A2" t="s">
        <v>51</v>
      </c>
      <c r="B2" t="s">
        <v>52</v>
      </c>
      <c r="C2" t="s">
        <v>53</v>
      </c>
      <c r="D2" t="s">
        <v>54</v>
      </c>
      <c r="E2" t="s">
        <v>55</v>
      </c>
      <c r="F2">
        <v>21</v>
      </c>
      <c r="G2">
        <v>0</v>
      </c>
      <c r="H2">
        <v>0</v>
      </c>
      <c r="I2">
        <v>21</v>
      </c>
      <c r="J2">
        <v>0</v>
      </c>
      <c r="K2">
        <v>20</v>
      </c>
      <c r="L2">
        <v>80</v>
      </c>
      <c r="M2">
        <v>5</v>
      </c>
      <c r="N2">
        <v>3</v>
      </c>
      <c r="O2">
        <v>0</v>
      </c>
      <c r="P2">
        <v>9</v>
      </c>
      <c r="Q2">
        <v>9</v>
      </c>
      <c r="R2">
        <v>9</v>
      </c>
      <c r="S2">
        <v>15</v>
      </c>
      <c r="T2">
        <v>0</v>
      </c>
      <c r="U2">
        <v>0</v>
      </c>
      <c r="V2">
        <v>0</v>
      </c>
      <c r="W2">
        <v>0</v>
      </c>
      <c r="X2">
        <v>14</v>
      </c>
      <c r="Y2">
        <v>2</v>
      </c>
      <c r="Z2">
        <v>0</v>
      </c>
      <c r="AA2">
        <v>0</v>
      </c>
      <c r="AB2">
        <v>0</v>
      </c>
      <c r="AC2">
        <v>0</v>
      </c>
      <c r="AD2">
        <v>0</v>
      </c>
      <c r="AE2">
        <v>0</v>
      </c>
      <c r="AF2">
        <v>0</v>
      </c>
      <c r="AG2">
        <v>0</v>
      </c>
      <c r="AH2">
        <v>0</v>
      </c>
      <c r="AI2">
        <v>0</v>
      </c>
      <c r="AJ2">
        <v>0</v>
      </c>
      <c r="AK2">
        <v>0</v>
      </c>
      <c r="AL2">
        <v>0</v>
      </c>
      <c r="AM2">
        <v>0</v>
      </c>
      <c r="AN2">
        <v>68</v>
      </c>
      <c r="AO2">
        <v>0</v>
      </c>
      <c r="AP2">
        <v>0</v>
      </c>
      <c r="AQ2">
        <v>0</v>
      </c>
      <c r="AR2">
        <v>0</v>
      </c>
      <c r="AS2">
        <v>0</v>
      </c>
      <c r="AT2">
        <v>0</v>
      </c>
      <c r="AU2">
        <v>0</v>
      </c>
      <c r="AV2">
        <v>1</v>
      </c>
      <c r="AW2">
        <v>0</v>
      </c>
      <c r="AX2">
        <v>0</v>
      </c>
      <c r="AY2">
        <v>0</v>
      </c>
    </row>
    <row r="3" spans="1:51" x14ac:dyDescent="0.3">
      <c r="A3" t="s">
        <v>51</v>
      </c>
      <c r="B3" t="s">
        <v>52</v>
      </c>
      <c r="C3" t="s">
        <v>56</v>
      </c>
      <c r="D3" t="s">
        <v>57</v>
      </c>
      <c r="E3" t="s">
        <v>55</v>
      </c>
      <c r="F3">
        <v>24</v>
      </c>
      <c r="G3">
        <v>0</v>
      </c>
      <c r="H3">
        <v>0</v>
      </c>
      <c r="I3">
        <v>24</v>
      </c>
      <c r="J3">
        <v>0</v>
      </c>
      <c r="K3">
        <v>21</v>
      </c>
      <c r="L3">
        <v>166</v>
      </c>
      <c r="M3">
        <v>14</v>
      </c>
      <c r="N3">
        <v>5</v>
      </c>
      <c r="O3">
        <v>1</v>
      </c>
      <c r="P3">
        <v>23</v>
      </c>
      <c r="Q3">
        <v>25</v>
      </c>
      <c r="R3">
        <v>20</v>
      </c>
      <c r="S3">
        <v>22</v>
      </c>
      <c r="T3">
        <v>0</v>
      </c>
      <c r="U3">
        <v>0</v>
      </c>
      <c r="V3">
        <v>0</v>
      </c>
      <c r="W3">
        <v>0</v>
      </c>
      <c r="X3">
        <v>19</v>
      </c>
      <c r="Y3">
        <v>1</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3</v>
      </c>
      <c r="AX3">
        <v>0</v>
      </c>
      <c r="AY3">
        <v>0</v>
      </c>
    </row>
    <row r="4" spans="1:51" x14ac:dyDescent="0.3">
      <c r="A4" t="s">
        <v>51</v>
      </c>
      <c r="B4" t="s">
        <v>52</v>
      </c>
      <c r="C4" t="s">
        <v>56</v>
      </c>
      <c r="D4" t="s">
        <v>58</v>
      </c>
      <c r="E4" t="s">
        <v>55</v>
      </c>
      <c r="F4">
        <v>51</v>
      </c>
      <c r="G4">
        <v>0</v>
      </c>
      <c r="H4">
        <v>0</v>
      </c>
      <c r="I4">
        <v>51</v>
      </c>
      <c r="J4">
        <v>0</v>
      </c>
      <c r="K4">
        <v>43</v>
      </c>
      <c r="L4">
        <v>269</v>
      </c>
      <c r="M4">
        <v>5</v>
      </c>
      <c r="N4">
        <v>13</v>
      </c>
      <c r="O4">
        <v>1</v>
      </c>
      <c r="P4">
        <v>34</v>
      </c>
      <c r="Q4">
        <v>34</v>
      </c>
      <c r="R4">
        <v>55</v>
      </c>
      <c r="S4">
        <v>36</v>
      </c>
      <c r="T4">
        <v>0</v>
      </c>
      <c r="U4">
        <v>0</v>
      </c>
      <c r="V4">
        <v>0</v>
      </c>
      <c r="W4">
        <v>0</v>
      </c>
      <c r="X4">
        <v>36</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1</v>
      </c>
      <c r="AW4">
        <v>3</v>
      </c>
      <c r="AX4">
        <v>0</v>
      </c>
      <c r="AY4">
        <v>0</v>
      </c>
    </row>
    <row r="5" spans="1:51" x14ac:dyDescent="0.3">
      <c r="A5" t="s">
        <v>51</v>
      </c>
      <c r="B5" t="s">
        <v>52</v>
      </c>
      <c r="C5" t="s">
        <v>56</v>
      </c>
      <c r="D5" t="s">
        <v>59</v>
      </c>
      <c r="E5" t="s">
        <v>55</v>
      </c>
      <c r="F5">
        <v>28</v>
      </c>
      <c r="G5">
        <v>0</v>
      </c>
      <c r="H5">
        <v>0</v>
      </c>
      <c r="I5">
        <v>27</v>
      </c>
      <c r="J5">
        <v>0</v>
      </c>
      <c r="K5">
        <v>23</v>
      </c>
      <c r="L5">
        <v>163</v>
      </c>
      <c r="M5">
        <v>0</v>
      </c>
      <c r="N5">
        <v>0</v>
      </c>
      <c r="O5">
        <v>0</v>
      </c>
      <c r="P5">
        <v>29</v>
      </c>
      <c r="Q5">
        <v>29</v>
      </c>
      <c r="R5">
        <v>17</v>
      </c>
      <c r="S5">
        <v>9</v>
      </c>
      <c r="T5">
        <v>0</v>
      </c>
      <c r="U5">
        <v>0</v>
      </c>
      <c r="V5">
        <v>0</v>
      </c>
      <c r="W5">
        <v>0</v>
      </c>
      <c r="X5">
        <v>11</v>
      </c>
      <c r="Y5">
        <v>8</v>
      </c>
      <c r="Z5">
        <v>0</v>
      </c>
      <c r="AA5">
        <v>0</v>
      </c>
      <c r="AB5">
        <v>0</v>
      </c>
      <c r="AC5">
        <v>0</v>
      </c>
      <c r="AD5">
        <v>0</v>
      </c>
      <c r="AE5">
        <v>0</v>
      </c>
      <c r="AF5">
        <v>0</v>
      </c>
      <c r="AG5">
        <v>0</v>
      </c>
      <c r="AH5">
        <v>0</v>
      </c>
      <c r="AI5">
        <v>0</v>
      </c>
      <c r="AJ5">
        <v>0</v>
      </c>
      <c r="AK5">
        <v>0</v>
      </c>
      <c r="AL5">
        <v>0</v>
      </c>
      <c r="AM5">
        <v>0</v>
      </c>
      <c r="AN5">
        <v>1</v>
      </c>
      <c r="AO5">
        <v>0</v>
      </c>
      <c r="AP5">
        <v>0</v>
      </c>
      <c r="AQ5">
        <v>0</v>
      </c>
      <c r="AR5">
        <v>0</v>
      </c>
      <c r="AS5">
        <v>0</v>
      </c>
      <c r="AT5">
        <v>0</v>
      </c>
      <c r="AU5">
        <v>0</v>
      </c>
      <c r="AV5">
        <v>1</v>
      </c>
      <c r="AW5">
        <v>0</v>
      </c>
      <c r="AX5">
        <v>0</v>
      </c>
      <c r="AY5">
        <v>0</v>
      </c>
    </row>
    <row r="6" spans="1:51" x14ac:dyDescent="0.3">
      <c r="A6" t="s">
        <v>51</v>
      </c>
      <c r="B6" t="s">
        <v>52</v>
      </c>
      <c r="C6" t="s">
        <v>56</v>
      </c>
      <c r="D6" t="s">
        <v>60</v>
      </c>
      <c r="E6" t="s">
        <v>55</v>
      </c>
      <c r="F6">
        <v>23</v>
      </c>
      <c r="G6">
        <v>0</v>
      </c>
      <c r="H6">
        <v>0</v>
      </c>
      <c r="I6">
        <v>23</v>
      </c>
      <c r="J6">
        <v>0</v>
      </c>
      <c r="K6">
        <v>18</v>
      </c>
      <c r="L6">
        <v>134</v>
      </c>
      <c r="M6">
        <v>0</v>
      </c>
      <c r="N6">
        <v>0</v>
      </c>
      <c r="O6">
        <v>0</v>
      </c>
      <c r="P6">
        <v>13</v>
      </c>
      <c r="Q6">
        <v>13</v>
      </c>
      <c r="R6">
        <v>25</v>
      </c>
      <c r="S6">
        <v>17</v>
      </c>
      <c r="T6">
        <v>0</v>
      </c>
      <c r="U6">
        <v>0</v>
      </c>
      <c r="V6">
        <v>0</v>
      </c>
      <c r="W6">
        <v>0</v>
      </c>
      <c r="X6">
        <v>17</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1</v>
      </c>
      <c r="AW6">
        <v>1</v>
      </c>
      <c r="AX6">
        <v>0</v>
      </c>
      <c r="AY6">
        <v>0</v>
      </c>
    </row>
    <row r="7" spans="1:51" x14ac:dyDescent="0.3">
      <c r="A7" t="s">
        <v>51</v>
      </c>
      <c r="B7" t="s">
        <v>52</v>
      </c>
      <c r="C7" t="s">
        <v>56</v>
      </c>
      <c r="D7" t="s">
        <v>61</v>
      </c>
      <c r="E7" t="s">
        <v>55</v>
      </c>
      <c r="F7">
        <v>12</v>
      </c>
      <c r="G7">
        <v>0</v>
      </c>
      <c r="H7">
        <v>0</v>
      </c>
      <c r="I7">
        <v>12</v>
      </c>
      <c r="J7">
        <v>0</v>
      </c>
      <c r="K7">
        <v>11</v>
      </c>
      <c r="L7">
        <v>67</v>
      </c>
      <c r="M7">
        <v>1</v>
      </c>
      <c r="N7">
        <v>3</v>
      </c>
      <c r="O7">
        <v>0</v>
      </c>
      <c r="P7">
        <v>11</v>
      </c>
      <c r="Q7">
        <v>11</v>
      </c>
      <c r="R7">
        <v>8</v>
      </c>
      <c r="S7">
        <v>9</v>
      </c>
      <c r="T7">
        <v>0</v>
      </c>
      <c r="U7">
        <v>0</v>
      </c>
      <c r="V7">
        <v>0</v>
      </c>
      <c r="W7">
        <v>0</v>
      </c>
      <c r="X7">
        <v>9</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1</v>
      </c>
      <c r="AX7">
        <v>0</v>
      </c>
      <c r="AY7">
        <v>0</v>
      </c>
    </row>
    <row r="8" spans="1:51" x14ac:dyDescent="0.3">
      <c r="A8" t="s">
        <v>51</v>
      </c>
      <c r="B8" t="s">
        <v>52</v>
      </c>
      <c r="C8" t="s">
        <v>56</v>
      </c>
      <c r="D8" t="s">
        <v>62</v>
      </c>
      <c r="E8" t="s">
        <v>55</v>
      </c>
      <c r="F8">
        <v>20</v>
      </c>
      <c r="G8">
        <v>0</v>
      </c>
      <c r="H8">
        <v>0</v>
      </c>
      <c r="I8">
        <v>20</v>
      </c>
      <c r="J8">
        <v>0</v>
      </c>
      <c r="K8">
        <v>16</v>
      </c>
      <c r="L8">
        <v>128</v>
      </c>
      <c r="M8">
        <v>3</v>
      </c>
      <c r="N8">
        <v>2</v>
      </c>
      <c r="O8">
        <v>0</v>
      </c>
      <c r="P8">
        <v>15</v>
      </c>
      <c r="Q8">
        <v>15</v>
      </c>
      <c r="R8">
        <v>14</v>
      </c>
      <c r="S8">
        <v>15</v>
      </c>
      <c r="T8">
        <v>0</v>
      </c>
      <c r="U8">
        <v>0</v>
      </c>
      <c r="V8">
        <v>0</v>
      </c>
      <c r="W8">
        <v>0</v>
      </c>
      <c r="X8">
        <v>15</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1</v>
      </c>
      <c r="AX8">
        <v>0</v>
      </c>
      <c r="AY8">
        <v>0</v>
      </c>
    </row>
    <row r="9" spans="1:51" x14ac:dyDescent="0.3">
      <c r="A9" t="s">
        <v>51</v>
      </c>
      <c r="B9" t="s">
        <v>52</v>
      </c>
      <c r="C9" t="s">
        <v>56</v>
      </c>
      <c r="D9" t="s">
        <v>63</v>
      </c>
      <c r="E9" t="s">
        <v>55</v>
      </c>
      <c r="F9">
        <v>35</v>
      </c>
      <c r="G9">
        <v>0</v>
      </c>
      <c r="H9">
        <v>0</v>
      </c>
      <c r="I9">
        <v>35</v>
      </c>
      <c r="J9">
        <v>0</v>
      </c>
      <c r="K9">
        <v>31</v>
      </c>
      <c r="L9">
        <v>223</v>
      </c>
      <c r="M9">
        <v>6</v>
      </c>
      <c r="N9">
        <v>8</v>
      </c>
      <c r="O9">
        <v>0</v>
      </c>
      <c r="P9">
        <v>25</v>
      </c>
      <c r="Q9">
        <v>25</v>
      </c>
      <c r="R9">
        <v>28</v>
      </c>
      <c r="S9">
        <v>19</v>
      </c>
      <c r="T9">
        <v>0</v>
      </c>
      <c r="U9">
        <v>0</v>
      </c>
      <c r="V9">
        <v>0</v>
      </c>
      <c r="W9">
        <v>0</v>
      </c>
      <c r="X9">
        <v>17</v>
      </c>
      <c r="Y9">
        <v>1</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1</v>
      </c>
      <c r="AX9">
        <v>0</v>
      </c>
      <c r="AY9">
        <v>0</v>
      </c>
    </row>
    <row r="10" spans="1:51" x14ac:dyDescent="0.3">
      <c r="A10" t="s">
        <v>51</v>
      </c>
      <c r="B10" t="s">
        <v>52</v>
      </c>
      <c r="C10" t="s">
        <v>56</v>
      </c>
      <c r="D10" t="s">
        <v>64</v>
      </c>
      <c r="E10" t="s">
        <v>55</v>
      </c>
      <c r="F10">
        <v>13</v>
      </c>
      <c r="G10">
        <v>0</v>
      </c>
      <c r="H10">
        <v>0</v>
      </c>
      <c r="I10">
        <v>13</v>
      </c>
      <c r="J10">
        <v>0</v>
      </c>
      <c r="K10">
        <v>12</v>
      </c>
      <c r="L10">
        <v>84</v>
      </c>
      <c r="M10">
        <v>0</v>
      </c>
      <c r="N10">
        <v>3</v>
      </c>
      <c r="O10">
        <v>0</v>
      </c>
      <c r="P10">
        <v>19</v>
      </c>
      <c r="Q10">
        <v>19</v>
      </c>
      <c r="R10">
        <v>28</v>
      </c>
      <c r="S10">
        <v>9</v>
      </c>
      <c r="T10">
        <v>0</v>
      </c>
      <c r="U10">
        <v>0</v>
      </c>
      <c r="V10">
        <v>0</v>
      </c>
      <c r="W10">
        <v>0</v>
      </c>
      <c r="X10">
        <v>8</v>
      </c>
      <c r="Y10">
        <v>0</v>
      </c>
      <c r="Z10">
        <v>0</v>
      </c>
      <c r="AA10">
        <v>0</v>
      </c>
      <c r="AB10">
        <v>0</v>
      </c>
      <c r="AC10">
        <v>0</v>
      </c>
      <c r="AD10">
        <v>0</v>
      </c>
      <c r="AE10">
        <v>0</v>
      </c>
      <c r="AF10">
        <v>0</v>
      </c>
      <c r="AG10">
        <v>0</v>
      </c>
      <c r="AH10">
        <v>0</v>
      </c>
      <c r="AI10">
        <v>0</v>
      </c>
      <c r="AJ10">
        <v>0</v>
      </c>
      <c r="AK10">
        <v>0</v>
      </c>
      <c r="AL10">
        <v>0</v>
      </c>
      <c r="AM10">
        <v>0</v>
      </c>
      <c r="AN10">
        <v>0</v>
      </c>
      <c r="AO10">
        <v>0</v>
      </c>
      <c r="AP10">
        <v>0</v>
      </c>
      <c r="AQ10">
        <v>0</v>
      </c>
      <c r="AR10">
        <v>0</v>
      </c>
      <c r="AS10">
        <v>0</v>
      </c>
      <c r="AT10">
        <v>0</v>
      </c>
      <c r="AU10">
        <v>0</v>
      </c>
      <c r="AV10">
        <v>1</v>
      </c>
      <c r="AW10">
        <v>0</v>
      </c>
      <c r="AX10">
        <v>0</v>
      </c>
      <c r="AY10">
        <v>0</v>
      </c>
    </row>
    <row r="11" spans="1:51" x14ac:dyDescent="0.3">
      <c r="A11" t="s">
        <v>51</v>
      </c>
      <c r="B11" t="s">
        <v>52</v>
      </c>
      <c r="C11" t="s">
        <v>53</v>
      </c>
      <c r="D11" t="s">
        <v>65</v>
      </c>
      <c r="E11" t="s">
        <v>55</v>
      </c>
      <c r="F11">
        <v>24</v>
      </c>
      <c r="G11">
        <v>0</v>
      </c>
      <c r="H11">
        <v>0</v>
      </c>
      <c r="I11">
        <v>24</v>
      </c>
      <c r="J11">
        <v>0</v>
      </c>
      <c r="K11">
        <v>17</v>
      </c>
      <c r="L11">
        <v>117</v>
      </c>
      <c r="M11">
        <v>0</v>
      </c>
      <c r="N11">
        <v>0</v>
      </c>
      <c r="O11">
        <v>0</v>
      </c>
      <c r="P11">
        <v>15</v>
      </c>
      <c r="Q11">
        <v>15</v>
      </c>
      <c r="R11">
        <v>1</v>
      </c>
      <c r="S11">
        <v>20</v>
      </c>
      <c r="T11">
        <v>0</v>
      </c>
      <c r="U11">
        <v>0</v>
      </c>
      <c r="V11">
        <v>0</v>
      </c>
      <c r="W11">
        <v>0</v>
      </c>
      <c r="X11">
        <v>2</v>
      </c>
      <c r="Y11">
        <v>0</v>
      </c>
      <c r="Z11">
        <v>0</v>
      </c>
      <c r="AA11">
        <v>0</v>
      </c>
      <c r="AB11">
        <v>0</v>
      </c>
      <c r="AC11">
        <v>0</v>
      </c>
      <c r="AD11">
        <v>0</v>
      </c>
      <c r="AE11">
        <v>0</v>
      </c>
      <c r="AF11">
        <v>0</v>
      </c>
      <c r="AG11">
        <v>0</v>
      </c>
      <c r="AH11">
        <v>0</v>
      </c>
      <c r="AI11">
        <v>0</v>
      </c>
      <c r="AJ11">
        <v>0</v>
      </c>
      <c r="AK11">
        <v>0</v>
      </c>
      <c r="AL11">
        <v>0</v>
      </c>
      <c r="AM11">
        <v>0</v>
      </c>
      <c r="AN11">
        <v>113</v>
      </c>
      <c r="AO11">
        <v>0</v>
      </c>
      <c r="AP11">
        <v>0</v>
      </c>
      <c r="AQ11">
        <v>0</v>
      </c>
      <c r="AR11">
        <v>0</v>
      </c>
      <c r="AS11">
        <v>0</v>
      </c>
      <c r="AT11">
        <v>0</v>
      </c>
      <c r="AU11">
        <v>0</v>
      </c>
      <c r="AV11">
        <v>0</v>
      </c>
      <c r="AW11">
        <v>0</v>
      </c>
      <c r="AX11">
        <v>0</v>
      </c>
      <c r="AY11">
        <v>0</v>
      </c>
    </row>
    <row r="12" spans="1:51" x14ac:dyDescent="0.3">
      <c r="A12" t="s">
        <v>51</v>
      </c>
      <c r="B12" t="s">
        <v>52</v>
      </c>
      <c r="C12" t="s">
        <v>53</v>
      </c>
      <c r="D12" t="s">
        <v>66</v>
      </c>
      <c r="E12" t="s">
        <v>55</v>
      </c>
      <c r="F12">
        <v>11</v>
      </c>
      <c r="G12">
        <v>0</v>
      </c>
      <c r="H12">
        <v>0</v>
      </c>
      <c r="I12">
        <v>11</v>
      </c>
      <c r="J12">
        <v>0</v>
      </c>
      <c r="K12">
        <v>10</v>
      </c>
      <c r="L12">
        <v>66</v>
      </c>
      <c r="M12">
        <v>0</v>
      </c>
      <c r="N12">
        <v>0</v>
      </c>
      <c r="O12">
        <v>0</v>
      </c>
      <c r="P12">
        <v>10</v>
      </c>
      <c r="Q12">
        <v>8</v>
      </c>
      <c r="R12">
        <v>3</v>
      </c>
      <c r="S12">
        <v>12</v>
      </c>
      <c r="T12">
        <v>0</v>
      </c>
      <c r="U12">
        <v>0</v>
      </c>
      <c r="V12">
        <v>0</v>
      </c>
      <c r="W12">
        <v>0</v>
      </c>
      <c r="X12">
        <v>4</v>
      </c>
      <c r="Y12">
        <v>0</v>
      </c>
      <c r="Z12">
        <v>0</v>
      </c>
      <c r="AA12">
        <v>0</v>
      </c>
      <c r="AB12">
        <v>0</v>
      </c>
      <c r="AC12">
        <v>0</v>
      </c>
      <c r="AD12">
        <v>0</v>
      </c>
      <c r="AE12">
        <v>0</v>
      </c>
      <c r="AF12">
        <v>0</v>
      </c>
      <c r="AG12">
        <v>0</v>
      </c>
      <c r="AH12">
        <v>0</v>
      </c>
      <c r="AI12">
        <v>0</v>
      </c>
      <c r="AJ12">
        <v>0</v>
      </c>
      <c r="AK12">
        <v>0</v>
      </c>
      <c r="AL12">
        <v>0</v>
      </c>
      <c r="AM12">
        <v>0</v>
      </c>
      <c r="AN12">
        <v>66</v>
      </c>
      <c r="AO12">
        <v>0</v>
      </c>
      <c r="AP12">
        <v>0</v>
      </c>
      <c r="AQ12">
        <v>0</v>
      </c>
      <c r="AR12">
        <v>0</v>
      </c>
      <c r="AS12">
        <v>0</v>
      </c>
      <c r="AT12">
        <v>0</v>
      </c>
      <c r="AU12">
        <v>0</v>
      </c>
      <c r="AV12">
        <v>0</v>
      </c>
      <c r="AW12">
        <v>0</v>
      </c>
      <c r="AX12">
        <v>0</v>
      </c>
      <c r="AY12">
        <v>0</v>
      </c>
    </row>
    <row r="13" spans="1:51" x14ac:dyDescent="0.3">
      <c r="A13" t="s">
        <v>51</v>
      </c>
      <c r="B13" t="s">
        <v>52</v>
      </c>
      <c r="C13" t="s">
        <v>56</v>
      </c>
      <c r="D13" t="s">
        <v>67</v>
      </c>
      <c r="E13" t="s">
        <v>55</v>
      </c>
      <c r="F13">
        <v>13</v>
      </c>
      <c r="G13">
        <v>0</v>
      </c>
      <c r="H13">
        <v>0</v>
      </c>
      <c r="I13">
        <v>13</v>
      </c>
      <c r="J13">
        <v>0</v>
      </c>
      <c r="K13">
        <v>10</v>
      </c>
      <c r="L13">
        <v>78</v>
      </c>
      <c r="M13">
        <v>2</v>
      </c>
      <c r="N13">
        <v>2</v>
      </c>
      <c r="O13">
        <v>0</v>
      </c>
      <c r="P13">
        <v>11</v>
      </c>
      <c r="Q13">
        <v>11</v>
      </c>
      <c r="R13">
        <v>9</v>
      </c>
      <c r="S13">
        <v>6</v>
      </c>
      <c r="T13">
        <v>0</v>
      </c>
      <c r="U13">
        <v>0</v>
      </c>
      <c r="V13">
        <v>0</v>
      </c>
      <c r="W13">
        <v>0</v>
      </c>
      <c r="X13">
        <v>6</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row>
    <row r="14" spans="1:51" x14ac:dyDescent="0.3">
      <c r="A14" t="s">
        <v>51</v>
      </c>
      <c r="B14" t="s">
        <v>52</v>
      </c>
      <c r="C14" t="s">
        <v>56</v>
      </c>
      <c r="D14" t="s">
        <v>68</v>
      </c>
      <c r="E14" t="s">
        <v>55</v>
      </c>
      <c r="F14">
        <v>23</v>
      </c>
      <c r="G14">
        <v>0</v>
      </c>
      <c r="H14">
        <v>0</v>
      </c>
      <c r="I14">
        <v>23</v>
      </c>
      <c r="J14">
        <v>0</v>
      </c>
      <c r="K14">
        <v>22</v>
      </c>
      <c r="L14">
        <v>134</v>
      </c>
      <c r="M14">
        <v>0</v>
      </c>
      <c r="N14">
        <v>2</v>
      </c>
      <c r="O14">
        <v>0</v>
      </c>
      <c r="P14">
        <v>16</v>
      </c>
      <c r="Q14">
        <v>16</v>
      </c>
      <c r="R14">
        <v>20</v>
      </c>
      <c r="S14">
        <v>16</v>
      </c>
      <c r="T14">
        <v>0</v>
      </c>
      <c r="U14">
        <v>0</v>
      </c>
      <c r="V14">
        <v>0</v>
      </c>
      <c r="W14">
        <v>0</v>
      </c>
      <c r="X14">
        <v>13</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1</v>
      </c>
      <c r="AX14">
        <v>0</v>
      </c>
      <c r="AY14">
        <v>0</v>
      </c>
    </row>
    <row r="15" spans="1:51" x14ac:dyDescent="0.3">
      <c r="A15" t="s">
        <v>51</v>
      </c>
      <c r="B15" t="s">
        <v>52</v>
      </c>
      <c r="C15" t="s">
        <v>56</v>
      </c>
      <c r="D15" t="s">
        <v>69</v>
      </c>
      <c r="E15" t="s">
        <v>55</v>
      </c>
      <c r="F15">
        <v>26</v>
      </c>
      <c r="G15">
        <v>0</v>
      </c>
      <c r="H15">
        <v>0</v>
      </c>
      <c r="I15">
        <v>26</v>
      </c>
      <c r="J15">
        <v>0</v>
      </c>
      <c r="K15">
        <v>25</v>
      </c>
      <c r="L15">
        <v>163</v>
      </c>
      <c r="M15">
        <v>0</v>
      </c>
      <c r="N15">
        <v>0</v>
      </c>
      <c r="O15">
        <v>0</v>
      </c>
      <c r="P15">
        <v>27</v>
      </c>
      <c r="Q15">
        <v>27</v>
      </c>
      <c r="R15">
        <v>28</v>
      </c>
      <c r="S15">
        <v>15</v>
      </c>
      <c r="T15">
        <v>0</v>
      </c>
      <c r="U15">
        <v>0</v>
      </c>
      <c r="V15">
        <v>0</v>
      </c>
      <c r="W15">
        <v>0</v>
      </c>
      <c r="X15">
        <v>15</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row>
    <row r="16" spans="1:51" x14ac:dyDescent="0.3">
      <c r="A16" t="s">
        <v>51</v>
      </c>
      <c r="B16" t="s">
        <v>52</v>
      </c>
      <c r="C16" t="s">
        <v>56</v>
      </c>
      <c r="D16" t="s">
        <v>70</v>
      </c>
      <c r="E16" t="s">
        <v>55</v>
      </c>
      <c r="F16">
        <v>16</v>
      </c>
      <c r="G16">
        <v>2</v>
      </c>
      <c r="H16">
        <v>0</v>
      </c>
      <c r="I16">
        <v>14</v>
      </c>
      <c r="J16">
        <v>0</v>
      </c>
      <c r="K16">
        <v>14</v>
      </c>
      <c r="L16">
        <v>75</v>
      </c>
      <c r="M16">
        <v>2</v>
      </c>
      <c r="N16">
        <v>2</v>
      </c>
      <c r="O16">
        <v>0</v>
      </c>
      <c r="P16">
        <v>15</v>
      </c>
      <c r="Q16">
        <v>15</v>
      </c>
      <c r="R16">
        <v>8</v>
      </c>
      <c r="S16">
        <v>6</v>
      </c>
      <c r="T16">
        <v>0</v>
      </c>
      <c r="U16">
        <v>0</v>
      </c>
      <c r="V16">
        <v>0</v>
      </c>
      <c r="W16">
        <v>0</v>
      </c>
      <c r="X16">
        <v>5</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row>
    <row r="17" spans="1:51" x14ac:dyDescent="0.3">
      <c r="A17" t="s">
        <v>51</v>
      </c>
      <c r="B17" t="s">
        <v>52</v>
      </c>
      <c r="C17" t="s">
        <v>53</v>
      </c>
      <c r="D17" t="s">
        <v>71</v>
      </c>
      <c r="E17" t="s">
        <v>55</v>
      </c>
      <c r="F17">
        <v>11</v>
      </c>
      <c r="G17">
        <v>0</v>
      </c>
      <c r="H17">
        <v>0</v>
      </c>
      <c r="I17">
        <v>11</v>
      </c>
      <c r="J17">
        <v>0</v>
      </c>
      <c r="K17">
        <v>10</v>
      </c>
      <c r="L17">
        <v>56</v>
      </c>
      <c r="M17">
        <v>2</v>
      </c>
      <c r="N17">
        <v>1</v>
      </c>
      <c r="O17">
        <v>0</v>
      </c>
      <c r="P17">
        <v>6</v>
      </c>
      <c r="Q17">
        <v>6</v>
      </c>
      <c r="R17">
        <v>7</v>
      </c>
      <c r="S17">
        <v>9</v>
      </c>
      <c r="T17">
        <v>0</v>
      </c>
      <c r="U17">
        <v>0</v>
      </c>
      <c r="V17">
        <v>0</v>
      </c>
      <c r="W17">
        <v>0</v>
      </c>
      <c r="X17">
        <v>8</v>
      </c>
      <c r="Y17">
        <v>1</v>
      </c>
      <c r="Z17">
        <v>0</v>
      </c>
      <c r="AA17">
        <v>0</v>
      </c>
      <c r="AB17">
        <v>0</v>
      </c>
      <c r="AC17">
        <v>0</v>
      </c>
      <c r="AD17">
        <v>0</v>
      </c>
      <c r="AE17">
        <v>0</v>
      </c>
      <c r="AF17">
        <v>0</v>
      </c>
      <c r="AG17">
        <v>0</v>
      </c>
      <c r="AH17">
        <v>0</v>
      </c>
      <c r="AI17">
        <v>0</v>
      </c>
      <c r="AJ17">
        <v>0</v>
      </c>
      <c r="AK17">
        <v>0</v>
      </c>
      <c r="AL17">
        <v>0</v>
      </c>
      <c r="AM17">
        <v>0</v>
      </c>
      <c r="AN17">
        <v>56</v>
      </c>
      <c r="AO17">
        <v>0</v>
      </c>
      <c r="AP17">
        <v>0</v>
      </c>
      <c r="AQ17">
        <v>0</v>
      </c>
      <c r="AR17">
        <v>0</v>
      </c>
      <c r="AS17">
        <v>0</v>
      </c>
      <c r="AT17">
        <v>0</v>
      </c>
      <c r="AU17">
        <v>0</v>
      </c>
      <c r="AV17">
        <v>0</v>
      </c>
      <c r="AW17">
        <v>0</v>
      </c>
      <c r="AX17">
        <v>0</v>
      </c>
      <c r="AY17">
        <v>0</v>
      </c>
    </row>
    <row r="18" spans="1:51" x14ac:dyDescent="0.3">
      <c r="A18" t="s">
        <v>51</v>
      </c>
      <c r="B18" t="s">
        <v>72</v>
      </c>
      <c r="C18" t="s">
        <v>53</v>
      </c>
      <c r="D18" t="s">
        <v>73</v>
      </c>
      <c r="E18" t="s">
        <v>55</v>
      </c>
      <c r="F18">
        <v>0</v>
      </c>
      <c r="G18">
        <v>0</v>
      </c>
      <c r="H18">
        <v>0</v>
      </c>
      <c r="I18">
        <v>0</v>
      </c>
      <c r="J18">
        <v>0</v>
      </c>
      <c r="K18">
        <v>0</v>
      </c>
      <c r="L18">
        <v>202</v>
      </c>
      <c r="M18">
        <v>27</v>
      </c>
      <c r="N18">
        <v>21</v>
      </c>
      <c r="O18">
        <v>8</v>
      </c>
      <c r="P18">
        <v>0</v>
      </c>
      <c r="Q18">
        <v>3</v>
      </c>
      <c r="R18">
        <v>26</v>
      </c>
      <c r="S18">
        <v>2</v>
      </c>
      <c r="T18">
        <v>0</v>
      </c>
      <c r="U18">
        <v>0</v>
      </c>
      <c r="V18">
        <v>0</v>
      </c>
      <c r="W18">
        <v>0</v>
      </c>
      <c r="X18">
        <v>0</v>
      </c>
      <c r="Y18">
        <v>34</v>
      </c>
      <c r="Z18">
        <v>0</v>
      </c>
      <c r="AA18">
        <v>0</v>
      </c>
      <c r="AB18">
        <v>3</v>
      </c>
      <c r="AC18">
        <v>0</v>
      </c>
      <c r="AD18">
        <v>0</v>
      </c>
      <c r="AE18">
        <v>0</v>
      </c>
      <c r="AF18">
        <v>46</v>
      </c>
      <c r="AG18">
        <v>0</v>
      </c>
      <c r="AH18">
        <v>0</v>
      </c>
      <c r="AI18">
        <v>0</v>
      </c>
      <c r="AJ18">
        <v>0</v>
      </c>
      <c r="AK18">
        <v>0</v>
      </c>
      <c r="AL18">
        <v>0</v>
      </c>
      <c r="AM18">
        <v>0</v>
      </c>
      <c r="AN18">
        <v>187</v>
      </c>
      <c r="AO18">
        <v>1</v>
      </c>
      <c r="AP18">
        <v>0</v>
      </c>
      <c r="AQ18">
        <v>0</v>
      </c>
      <c r="AR18">
        <v>0</v>
      </c>
      <c r="AS18">
        <v>0</v>
      </c>
      <c r="AT18">
        <v>0</v>
      </c>
      <c r="AU18">
        <v>0</v>
      </c>
      <c r="AV18">
        <v>24</v>
      </c>
      <c r="AW18">
        <v>20</v>
      </c>
      <c r="AX18">
        <v>4</v>
      </c>
      <c r="AY18">
        <v>0</v>
      </c>
    </row>
    <row r="19" spans="1:51" x14ac:dyDescent="0.3">
      <c r="A19" t="s">
        <v>51</v>
      </c>
      <c r="B19" t="s">
        <v>74</v>
      </c>
      <c r="C19" t="s">
        <v>56</v>
      </c>
      <c r="D19" t="s">
        <v>75</v>
      </c>
      <c r="E19" t="s">
        <v>55</v>
      </c>
      <c r="F19">
        <v>10</v>
      </c>
      <c r="G19">
        <v>0</v>
      </c>
      <c r="H19">
        <v>0</v>
      </c>
      <c r="I19">
        <v>10</v>
      </c>
      <c r="J19">
        <v>0</v>
      </c>
      <c r="K19">
        <v>0</v>
      </c>
      <c r="L19">
        <v>963</v>
      </c>
      <c r="M19">
        <v>62</v>
      </c>
      <c r="N19">
        <v>44</v>
      </c>
      <c r="O19">
        <v>9</v>
      </c>
      <c r="P19">
        <v>94</v>
      </c>
      <c r="Q19">
        <v>94</v>
      </c>
      <c r="R19">
        <v>56</v>
      </c>
      <c r="S19">
        <v>67</v>
      </c>
      <c r="T19">
        <v>1</v>
      </c>
      <c r="U19">
        <v>2</v>
      </c>
      <c r="V19">
        <v>0</v>
      </c>
      <c r="W19">
        <v>0</v>
      </c>
      <c r="X19">
        <v>131</v>
      </c>
      <c r="Y19">
        <v>197</v>
      </c>
      <c r="Z19">
        <v>4</v>
      </c>
      <c r="AA19">
        <v>0</v>
      </c>
      <c r="AB19">
        <v>21</v>
      </c>
      <c r="AC19">
        <v>1</v>
      </c>
      <c r="AD19">
        <v>0</v>
      </c>
      <c r="AE19">
        <v>3</v>
      </c>
      <c r="AF19">
        <v>153</v>
      </c>
      <c r="AG19">
        <v>0</v>
      </c>
      <c r="AH19">
        <v>0</v>
      </c>
      <c r="AI19">
        <v>0</v>
      </c>
      <c r="AJ19">
        <v>0</v>
      </c>
      <c r="AK19">
        <v>0</v>
      </c>
      <c r="AL19">
        <v>2</v>
      </c>
      <c r="AM19">
        <v>24</v>
      </c>
      <c r="AN19">
        <v>0</v>
      </c>
      <c r="AO19">
        <v>0</v>
      </c>
      <c r="AP19">
        <v>0</v>
      </c>
      <c r="AQ19">
        <v>0</v>
      </c>
      <c r="AR19">
        <v>0</v>
      </c>
      <c r="AS19">
        <v>0</v>
      </c>
      <c r="AT19">
        <v>0</v>
      </c>
      <c r="AU19">
        <v>0</v>
      </c>
      <c r="AV19">
        <v>0</v>
      </c>
      <c r="AW19">
        <v>31</v>
      </c>
      <c r="AX19">
        <v>0</v>
      </c>
      <c r="AY19">
        <v>0</v>
      </c>
    </row>
    <row r="20" spans="1:51" x14ac:dyDescent="0.3">
      <c r="A20" t="s">
        <v>51</v>
      </c>
      <c r="B20" t="s">
        <v>52</v>
      </c>
      <c r="C20" t="s">
        <v>76</v>
      </c>
      <c r="D20" t="s">
        <v>77</v>
      </c>
      <c r="E20" t="s">
        <v>55</v>
      </c>
      <c r="F20">
        <v>45</v>
      </c>
      <c r="G20">
        <v>0</v>
      </c>
      <c r="H20">
        <v>0</v>
      </c>
      <c r="I20">
        <v>45</v>
      </c>
      <c r="J20">
        <v>0</v>
      </c>
      <c r="K20">
        <v>44</v>
      </c>
      <c r="L20">
        <v>184</v>
      </c>
      <c r="M20">
        <v>0</v>
      </c>
      <c r="N20">
        <v>0</v>
      </c>
      <c r="O20">
        <v>0</v>
      </c>
      <c r="P20">
        <v>11</v>
      </c>
      <c r="Q20">
        <v>14</v>
      </c>
      <c r="R20">
        <v>13</v>
      </c>
      <c r="S20">
        <v>14</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row>
    <row r="21" spans="1:51" x14ac:dyDescent="0.3">
      <c r="A21" t="s">
        <v>51</v>
      </c>
      <c r="B21" t="s">
        <v>52</v>
      </c>
      <c r="C21" t="s">
        <v>78</v>
      </c>
      <c r="D21" t="s">
        <v>79</v>
      </c>
      <c r="E21" t="s">
        <v>55</v>
      </c>
      <c r="F21">
        <v>20</v>
      </c>
      <c r="G21">
        <v>0</v>
      </c>
      <c r="H21">
        <v>0</v>
      </c>
      <c r="I21">
        <v>20</v>
      </c>
      <c r="J21">
        <v>0</v>
      </c>
      <c r="K21">
        <v>20</v>
      </c>
      <c r="L21">
        <v>122</v>
      </c>
      <c r="M21">
        <v>0</v>
      </c>
      <c r="N21">
        <v>0</v>
      </c>
      <c r="O21">
        <v>0</v>
      </c>
      <c r="P21">
        <v>10</v>
      </c>
      <c r="Q21">
        <v>9</v>
      </c>
      <c r="R21">
        <v>10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8</v>
      </c>
      <c r="AW21">
        <v>0</v>
      </c>
      <c r="AX21">
        <v>0</v>
      </c>
      <c r="AY21">
        <v>0</v>
      </c>
    </row>
    <row r="22" spans="1:51" x14ac:dyDescent="0.3">
      <c r="A22" t="s">
        <v>51</v>
      </c>
      <c r="B22" t="s">
        <v>52</v>
      </c>
      <c r="C22" t="s">
        <v>80</v>
      </c>
      <c r="D22" t="s">
        <v>81</v>
      </c>
      <c r="E22" t="s">
        <v>55</v>
      </c>
      <c r="F22">
        <v>26</v>
      </c>
      <c r="G22">
        <v>0</v>
      </c>
      <c r="H22">
        <v>0</v>
      </c>
      <c r="I22">
        <v>26</v>
      </c>
      <c r="J22">
        <v>0</v>
      </c>
      <c r="K22">
        <v>26</v>
      </c>
      <c r="L22">
        <v>156</v>
      </c>
      <c r="M22">
        <v>0</v>
      </c>
      <c r="N22">
        <v>0</v>
      </c>
      <c r="O22">
        <v>0</v>
      </c>
      <c r="P22">
        <v>22</v>
      </c>
      <c r="Q22">
        <v>22</v>
      </c>
      <c r="R22">
        <v>16</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row>
    <row r="23" spans="1:51" x14ac:dyDescent="0.3">
      <c r="A23" t="s">
        <v>51</v>
      </c>
      <c r="B23" t="s">
        <v>52</v>
      </c>
      <c r="C23" t="s">
        <v>80</v>
      </c>
      <c r="D23" t="s">
        <v>82</v>
      </c>
      <c r="E23" t="s">
        <v>55</v>
      </c>
      <c r="F23">
        <v>30</v>
      </c>
      <c r="G23">
        <v>0</v>
      </c>
      <c r="H23">
        <v>0</v>
      </c>
      <c r="I23">
        <v>30</v>
      </c>
      <c r="J23">
        <v>0</v>
      </c>
      <c r="K23">
        <v>24</v>
      </c>
      <c r="L23">
        <v>163</v>
      </c>
      <c r="M23">
        <v>0</v>
      </c>
      <c r="N23">
        <v>0</v>
      </c>
      <c r="O23">
        <v>0</v>
      </c>
      <c r="P23">
        <v>28</v>
      </c>
      <c r="Q23">
        <v>25</v>
      </c>
      <c r="R23">
        <v>11</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row>
    <row r="24" spans="1:51" x14ac:dyDescent="0.3">
      <c r="A24" t="s">
        <v>51</v>
      </c>
      <c r="B24" t="s">
        <v>52</v>
      </c>
      <c r="C24" t="s">
        <v>83</v>
      </c>
      <c r="D24" t="s">
        <v>84</v>
      </c>
      <c r="E24" t="s">
        <v>55</v>
      </c>
      <c r="F24">
        <v>22</v>
      </c>
      <c r="G24">
        <v>0</v>
      </c>
      <c r="H24">
        <v>0</v>
      </c>
      <c r="I24">
        <v>22</v>
      </c>
      <c r="J24">
        <v>0</v>
      </c>
      <c r="K24">
        <v>22</v>
      </c>
      <c r="L24">
        <v>48</v>
      </c>
      <c r="M24">
        <v>0</v>
      </c>
      <c r="N24">
        <v>0</v>
      </c>
      <c r="O24">
        <v>0</v>
      </c>
      <c r="P24">
        <v>11</v>
      </c>
      <c r="Q24">
        <v>5</v>
      </c>
      <c r="R24">
        <v>21</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20</v>
      </c>
      <c r="AO24">
        <v>0</v>
      </c>
      <c r="AP24">
        <v>0</v>
      </c>
      <c r="AQ24">
        <v>0</v>
      </c>
      <c r="AR24">
        <v>0</v>
      </c>
      <c r="AS24">
        <v>0</v>
      </c>
      <c r="AT24">
        <v>0</v>
      </c>
      <c r="AU24">
        <v>0</v>
      </c>
      <c r="AV24">
        <v>4</v>
      </c>
      <c r="AW24">
        <v>0</v>
      </c>
      <c r="AX24">
        <v>0</v>
      </c>
      <c r="AY24">
        <v>0</v>
      </c>
    </row>
    <row r="25" spans="1:51" x14ac:dyDescent="0.3">
      <c r="A25" t="s">
        <v>51</v>
      </c>
      <c r="B25" t="s">
        <v>52</v>
      </c>
      <c r="C25" t="s">
        <v>83</v>
      </c>
      <c r="D25" t="s">
        <v>85</v>
      </c>
      <c r="E25" t="s">
        <v>55</v>
      </c>
      <c r="F25">
        <v>21</v>
      </c>
      <c r="G25">
        <v>0</v>
      </c>
      <c r="H25">
        <v>0</v>
      </c>
      <c r="I25">
        <v>21</v>
      </c>
      <c r="J25">
        <v>0</v>
      </c>
      <c r="K25">
        <v>19</v>
      </c>
      <c r="L25">
        <v>70</v>
      </c>
      <c r="M25">
        <v>0</v>
      </c>
      <c r="N25">
        <v>1</v>
      </c>
      <c r="O25">
        <v>1</v>
      </c>
      <c r="P25">
        <v>20</v>
      </c>
      <c r="Q25">
        <v>20</v>
      </c>
      <c r="R25">
        <v>18</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row>
    <row r="26" spans="1:51" x14ac:dyDescent="0.3">
      <c r="A26" t="s">
        <v>51</v>
      </c>
      <c r="B26" t="s">
        <v>52</v>
      </c>
      <c r="C26" t="s">
        <v>86</v>
      </c>
      <c r="D26" t="s">
        <v>87</v>
      </c>
      <c r="E26" t="s">
        <v>55</v>
      </c>
      <c r="F26">
        <v>33</v>
      </c>
      <c r="G26">
        <v>2</v>
      </c>
      <c r="H26">
        <v>0</v>
      </c>
      <c r="I26">
        <v>31</v>
      </c>
      <c r="J26">
        <v>0</v>
      </c>
      <c r="K26">
        <v>27</v>
      </c>
      <c r="L26">
        <v>134</v>
      </c>
      <c r="M26">
        <v>3</v>
      </c>
      <c r="N26">
        <v>2</v>
      </c>
      <c r="O26">
        <v>0</v>
      </c>
      <c r="P26">
        <v>24</v>
      </c>
      <c r="Q26">
        <v>24</v>
      </c>
      <c r="R26">
        <v>18</v>
      </c>
      <c r="S26">
        <v>23</v>
      </c>
      <c r="T26">
        <v>0</v>
      </c>
      <c r="U26">
        <v>0</v>
      </c>
      <c r="V26">
        <v>0</v>
      </c>
      <c r="W26">
        <v>0</v>
      </c>
      <c r="X26">
        <v>6</v>
      </c>
      <c r="Y26">
        <v>0</v>
      </c>
      <c r="Z26">
        <v>0</v>
      </c>
      <c r="AA26">
        <v>0</v>
      </c>
      <c r="AB26">
        <v>0</v>
      </c>
      <c r="AC26">
        <v>0</v>
      </c>
      <c r="AD26">
        <v>0</v>
      </c>
      <c r="AE26">
        <v>0</v>
      </c>
      <c r="AF26">
        <v>13</v>
      </c>
      <c r="AG26">
        <v>0</v>
      </c>
      <c r="AH26">
        <v>0</v>
      </c>
      <c r="AI26">
        <v>0</v>
      </c>
      <c r="AJ26">
        <v>0</v>
      </c>
      <c r="AK26">
        <v>0</v>
      </c>
      <c r="AL26">
        <v>0</v>
      </c>
      <c r="AM26">
        <v>0</v>
      </c>
      <c r="AN26">
        <v>0</v>
      </c>
      <c r="AO26">
        <v>0</v>
      </c>
      <c r="AP26">
        <v>0</v>
      </c>
      <c r="AQ26">
        <v>0</v>
      </c>
      <c r="AR26">
        <v>0</v>
      </c>
      <c r="AS26">
        <v>0</v>
      </c>
      <c r="AT26">
        <v>0</v>
      </c>
      <c r="AU26">
        <v>0</v>
      </c>
      <c r="AV26">
        <v>0</v>
      </c>
      <c r="AW26">
        <v>0</v>
      </c>
      <c r="AX26">
        <v>0</v>
      </c>
      <c r="AY26">
        <v>0</v>
      </c>
    </row>
    <row r="27" spans="1:51" x14ac:dyDescent="0.3">
      <c r="A27" t="s">
        <v>51</v>
      </c>
      <c r="B27" t="s">
        <v>52</v>
      </c>
      <c r="C27" t="s">
        <v>76</v>
      </c>
      <c r="D27" t="s">
        <v>88</v>
      </c>
      <c r="E27" t="s">
        <v>55</v>
      </c>
      <c r="F27">
        <v>12</v>
      </c>
      <c r="G27">
        <v>0</v>
      </c>
      <c r="H27">
        <v>0</v>
      </c>
      <c r="I27">
        <v>12</v>
      </c>
      <c r="J27">
        <v>0</v>
      </c>
      <c r="K27">
        <v>12</v>
      </c>
      <c r="L27">
        <v>33</v>
      </c>
      <c r="M27">
        <v>1</v>
      </c>
      <c r="N27">
        <v>2</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row>
    <row r="28" spans="1:51" x14ac:dyDescent="0.3">
      <c r="A28" t="s">
        <v>51</v>
      </c>
      <c r="B28" t="s">
        <v>52</v>
      </c>
      <c r="C28" t="s">
        <v>89</v>
      </c>
      <c r="D28" t="s">
        <v>90</v>
      </c>
      <c r="E28" t="s">
        <v>55</v>
      </c>
      <c r="F28">
        <v>25</v>
      </c>
      <c r="G28">
        <v>0</v>
      </c>
      <c r="H28">
        <v>0</v>
      </c>
      <c r="I28">
        <v>25</v>
      </c>
      <c r="J28">
        <v>0</v>
      </c>
      <c r="K28">
        <v>22</v>
      </c>
      <c r="L28">
        <v>175</v>
      </c>
      <c r="M28">
        <v>0</v>
      </c>
      <c r="N28">
        <v>1</v>
      </c>
      <c r="O28">
        <v>0</v>
      </c>
      <c r="P28">
        <v>25</v>
      </c>
      <c r="Q28">
        <v>24</v>
      </c>
      <c r="R28">
        <v>5</v>
      </c>
      <c r="S28">
        <v>22</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row>
    <row r="29" spans="1:51" x14ac:dyDescent="0.3">
      <c r="A29" t="s">
        <v>51</v>
      </c>
      <c r="B29" t="s">
        <v>52</v>
      </c>
      <c r="C29" t="s">
        <v>89</v>
      </c>
      <c r="D29" t="s">
        <v>91</v>
      </c>
      <c r="E29" t="s">
        <v>55</v>
      </c>
      <c r="F29">
        <v>16</v>
      </c>
      <c r="G29">
        <v>0</v>
      </c>
      <c r="H29">
        <v>0</v>
      </c>
      <c r="I29">
        <v>16</v>
      </c>
      <c r="J29">
        <v>0</v>
      </c>
      <c r="K29">
        <v>14</v>
      </c>
      <c r="L29">
        <v>94</v>
      </c>
      <c r="M29">
        <v>0</v>
      </c>
      <c r="N29">
        <v>0</v>
      </c>
      <c r="O29">
        <v>0</v>
      </c>
      <c r="P29">
        <v>17</v>
      </c>
      <c r="Q29">
        <v>17</v>
      </c>
      <c r="R29">
        <v>5</v>
      </c>
      <c r="S29">
        <v>6</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row>
    <row r="30" spans="1:51" x14ac:dyDescent="0.3">
      <c r="A30" t="s">
        <v>51</v>
      </c>
      <c r="B30" t="s">
        <v>52</v>
      </c>
      <c r="C30" t="s">
        <v>92</v>
      </c>
      <c r="D30" t="s">
        <v>93</v>
      </c>
      <c r="E30" t="s">
        <v>55</v>
      </c>
      <c r="F30">
        <v>19</v>
      </c>
      <c r="G30">
        <v>0</v>
      </c>
      <c r="H30">
        <v>0</v>
      </c>
      <c r="I30">
        <v>19</v>
      </c>
      <c r="J30">
        <v>0</v>
      </c>
      <c r="K30">
        <v>19</v>
      </c>
      <c r="L30">
        <v>120</v>
      </c>
      <c r="M30">
        <v>0</v>
      </c>
      <c r="N30">
        <v>0</v>
      </c>
      <c r="O30">
        <v>0</v>
      </c>
      <c r="P30">
        <v>17</v>
      </c>
      <c r="Q30">
        <v>2</v>
      </c>
      <c r="R30">
        <v>0</v>
      </c>
      <c r="S30">
        <v>0</v>
      </c>
      <c r="T30">
        <v>0</v>
      </c>
      <c r="U30">
        <v>0</v>
      </c>
      <c r="V30">
        <v>0</v>
      </c>
      <c r="W30">
        <v>0</v>
      </c>
      <c r="X30">
        <v>17</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9</v>
      </c>
      <c r="AW30">
        <v>0</v>
      </c>
      <c r="AX30">
        <v>0</v>
      </c>
      <c r="AY30">
        <v>0</v>
      </c>
    </row>
    <row r="31" spans="1:51" x14ac:dyDescent="0.3">
      <c r="A31" t="s">
        <v>51</v>
      </c>
      <c r="B31" t="s">
        <v>52</v>
      </c>
      <c r="C31" t="s">
        <v>92</v>
      </c>
      <c r="D31" t="s">
        <v>94</v>
      </c>
      <c r="E31" t="s">
        <v>55</v>
      </c>
      <c r="F31">
        <v>18</v>
      </c>
      <c r="G31">
        <v>0</v>
      </c>
      <c r="H31">
        <v>0</v>
      </c>
      <c r="I31">
        <v>18</v>
      </c>
      <c r="J31">
        <v>0</v>
      </c>
      <c r="K31">
        <v>14</v>
      </c>
      <c r="L31">
        <v>102</v>
      </c>
      <c r="M31">
        <v>4</v>
      </c>
      <c r="N31">
        <v>2</v>
      </c>
      <c r="O31">
        <v>1</v>
      </c>
      <c r="P31">
        <v>16</v>
      </c>
      <c r="Q31">
        <v>2</v>
      </c>
      <c r="R31">
        <v>0</v>
      </c>
      <c r="S31">
        <v>0</v>
      </c>
      <c r="T31">
        <v>0</v>
      </c>
      <c r="U31">
        <v>0</v>
      </c>
      <c r="V31">
        <v>0</v>
      </c>
      <c r="W31">
        <v>0</v>
      </c>
      <c r="X31">
        <v>5</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7</v>
      </c>
      <c r="AW31">
        <v>0</v>
      </c>
      <c r="AX31">
        <v>0</v>
      </c>
      <c r="AY31">
        <v>0</v>
      </c>
    </row>
    <row r="32" spans="1:51" x14ac:dyDescent="0.3">
      <c r="A32" t="s">
        <v>51</v>
      </c>
      <c r="B32" t="s">
        <v>52</v>
      </c>
      <c r="C32" t="s">
        <v>95</v>
      </c>
      <c r="D32" t="s">
        <v>96</v>
      </c>
      <c r="E32" t="s">
        <v>55</v>
      </c>
      <c r="F32">
        <v>10</v>
      </c>
      <c r="G32">
        <v>0</v>
      </c>
      <c r="H32">
        <v>0</v>
      </c>
      <c r="I32">
        <v>10</v>
      </c>
      <c r="J32">
        <v>0</v>
      </c>
      <c r="K32">
        <v>5</v>
      </c>
      <c r="L32">
        <v>38</v>
      </c>
      <c r="M32">
        <v>0</v>
      </c>
      <c r="N32">
        <v>0</v>
      </c>
      <c r="O32">
        <v>0</v>
      </c>
      <c r="P32">
        <v>9</v>
      </c>
      <c r="Q32">
        <v>9</v>
      </c>
      <c r="R32">
        <v>0</v>
      </c>
      <c r="S32">
        <v>4</v>
      </c>
      <c r="T32">
        <v>0</v>
      </c>
      <c r="U32">
        <v>0</v>
      </c>
      <c r="V32">
        <v>0</v>
      </c>
      <c r="W32">
        <v>0</v>
      </c>
      <c r="X32">
        <v>0</v>
      </c>
      <c r="Y32">
        <v>1</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row>
    <row r="33" spans="1:51" x14ac:dyDescent="0.3">
      <c r="A33" t="s">
        <v>51</v>
      </c>
      <c r="B33" t="s">
        <v>52</v>
      </c>
      <c r="C33" t="s">
        <v>95</v>
      </c>
      <c r="D33" t="s">
        <v>97</v>
      </c>
      <c r="E33" t="s">
        <v>55</v>
      </c>
      <c r="F33">
        <v>21</v>
      </c>
      <c r="G33">
        <v>0</v>
      </c>
      <c r="H33">
        <v>0</v>
      </c>
      <c r="I33">
        <v>21</v>
      </c>
      <c r="J33">
        <v>0</v>
      </c>
      <c r="K33">
        <v>11</v>
      </c>
      <c r="L33">
        <v>84</v>
      </c>
      <c r="M33">
        <v>0</v>
      </c>
      <c r="N33">
        <v>0</v>
      </c>
      <c r="O33">
        <v>0</v>
      </c>
      <c r="P33">
        <v>10</v>
      </c>
      <c r="Q33">
        <v>10</v>
      </c>
      <c r="R33">
        <v>0</v>
      </c>
      <c r="S33">
        <v>5</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row>
    <row r="34" spans="1:51" x14ac:dyDescent="0.3">
      <c r="A34" t="s">
        <v>51</v>
      </c>
      <c r="B34" t="s">
        <v>52</v>
      </c>
      <c r="C34" t="s">
        <v>98</v>
      </c>
      <c r="D34" t="s">
        <v>99</v>
      </c>
      <c r="E34" t="s">
        <v>55</v>
      </c>
      <c r="F34">
        <v>6</v>
      </c>
      <c r="G34">
        <v>0</v>
      </c>
      <c r="H34">
        <v>0</v>
      </c>
      <c r="I34">
        <v>6</v>
      </c>
      <c r="J34">
        <v>0</v>
      </c>
      <c r="K34">
        <v>6</v>
      </c>
      <c r="L34">
        <v>188</v>
      </c>
      <c r="M34">
        <v>3</v>
      </c>
      <c r="N34">
        <v>1</v>
      </c>
      <c r="O34">
        <v>2</v>
      </c>
      <c r="P34">
        <v>8</v>
      </c>
      <c r="Q34">
        <v>8</v>
      </c>
      <c r="R34">
        <v>9</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3</v>
      </c>
      <c r="AW34">
        <v>0</v>
      </c>
      <c r="AX34">
        <v>0</v>
      </c>
      <c r="AY34">
        <v>0</v>
      </c>
    </row>
    <row r="35" spans="1:51" x14ac:dyDescent="0.3">
      <c r="A35" t="s">
        <v>51</v>
      </c>
      <c r="B35" t="s">
        <v>52</v>
      </c>
      <c r="C35" t="s">
        <v>98</v>
      </c>
      <c r="D35" t="s">
        <v>100</v>
      </c>
      <c r="E35" t="s">
        <v>55</v>
      </c>
      <c r="F35">
        <v>15</v>
      </c>
      <c r="G35">
        <v>0</v>
      </c>
      <c r="H35">
        <v>0</v>
      </c>
      <c r="I35">
        <v>15</v>
      </c>
      <c r="J35">
        <v>0</v>
      </c>
      <c r="K35">
        <v>13</v>
      </c>
      <c r="L35">
        <v>111</v>
      </c>
      <c r="M35">
        <v>4</v>
      </c>
      <c r="N35">
        <v>5</v>
      </c>
      <c r="O35">
        <v>4</v>
      </c>
      <c r="P35">
        <v>11</v>
      </c>
      <c r="Q35">
        <v>9</v>
      </c>
      <c r="R35">
        <v>11</v>
      </c>
      <c r="S35">
        <v>1</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5</v>
      </c>
      <c r="AW35">
        <v>0</v>
      </c>
      <c r="AX35">
        <v>0</v>
      </c>
      <c r="AY35">
        <v>0</v>
      </c>
    </row>
    <row r="36" spans="1:51" x14ac:dyDescent="0.3">
      <c r="A36" t="s">
        <v>51</v>
      </c>
      <c r="B36" t="s">
        <v>52</v>
      </c>
      <c r="C36" t="s">
        <v>101</v>
      </c>
      <c r="D36" t="s">
        <v>102</v>
      </c>
      <c r="E36" t="s">
        <v>55</v>
      </c>
      <c r="F36">
        <v>26</v>
      </c>
      <c r="G36">
        <v>3</v>
      </c>
      <c r="H36">
        <v>0</v>
      </c>
      <c r="I36">
        <v>22</v>
      </c>
      <c r="J36">
        <v>0</v>
      </c>
      <c r="K36">
        <v>22</v>
      </c>
      <c r="L36">
        <v>101</v>
      </c>
      <c r="M36">
        <v>1</v>
      </c>
      <c r="N36">
        <v>0</v>
      </c>
      <c r="O36">
        <v>0</v>
      </c>
      <c r="P36">
        <v>10</v>
      </c>
      <c r="Q36">
        <v>10</v>
      </c>
      <c r="R36">
        <v>2</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row>
    <row r="37" spans="1:51" x14ac:dyDescent="0.3">
      <c r="A37" t="s">
        <v>51</v>
      </c>
      <c r="B37" t="s">
        <v>52</v>
      </c>
      <c r="C37" t="s">
        <v>103</v>
      </c>
      <c r="D37" t="s">
        <v>104</v>
      </c>
      <c r="E37" t="s">
        <v>55</v>
      </c>
      <c r="F37">
        <v>26</v>
      </c>
      <c r="G37">
        <v>0</v>
      </c>
      <c r="H37">
        <v>0</v>
      </c>
      <c r="I37">
        <v>26</v>
      </c>
      <c r="J37">
        <v>0</v>
      </c>
      <c r="K37">
        <v>26</v>
      </c>
      <c r="L37">
        <v>135</v>
      </c>
      <c r="M37">
        <v>0</v>
      </c>
      <c r="N37">
        <v>0</v>
      </c>
      <c r="O37">
        <v>0</v>
      </c>
      <c r="P37">
        <v>13</v>
      </c>
      <c r="Q37">
        <v>13</v>
      </c>
      <c r="R37">
        <v>20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row>
    <row r="38" spans="1:51" x14ac:dyDescent="0.3">
      <c r="A38" t="s">
        <v>51</v>
      </c>
      <c r="B38" t="s">
        <v>52</v>
      </c>
      <c r="C38" t="s">
        <v>78</v>
      </c>
      <c r="D38" t="s">
        <v>105</v>
      </c>
      <c r="E38" t="s">
        <v>55</v>
      </c>
      <c r="F38">
        <v>22</v>
      </c>
      <c r="G38">
        <v>0</v>
      </c>
      <c r="H38">
        <v>0</v>
      </c>
      <c r="I38">
        <v>22</v>
      </c>
      <c r="J38">
        <v>0</v>
      </c>
      <c r="K38">
        <v>22</v>
      </c>
      <c r="L38">
        <v>120</v>
      </c>
      <c r="M38">
        <v>0</v>
      </c>
      <c r="N38">
        <v>1</v>
      </c>
      <c r="O38">
        <v>0</v>
      </c>
      <c r="P38">
        <v>17</v>
      </c>
      <c r="Q38">
        <v>17</v>
      </c>
      <c r="R38">
        <v>11</v>
      </c>
      <c r="S38">
        <v>4</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4</v>
      </c>
      <c r="AW38">
        <v>0</v>
      </c>
      <c r="AX38">
        <v>0</v>
      </c>
      <c r="AY38">
        <v>0</v>
      </c>
    </row>
    <row r="39" spans="1:51" x14ac:dyDescent="0.3">
      <c r="A39" t="s">
        <v>51</v>
      </c>
      <c r="B39" t="s">
        <v>52</v>
      </c>
      <c r="C39" t="s">
        <v>83</v>
      </c>
      <c r="D39" t="s">
        <v>106</v>
      </c>
      <c r="E39" t="s">
        <v>55</v>
      </c>
      <c r="F39">
        <v>26</v>
      </c>
      <c r="G39">
        <v>0</v>
      </c>
      <c r="H39">
        <v>0</v>
      </c>
      <c r="I39">
        <v>26</v>
      </c>
      <c r="J39">
        <v>0</v>
      </c>
      <c r="K39">
        <v>25</v>
      </c>
      <c r="L39">
        <v>58</v>
      </c>
      <c r="M39">
        <v>0</v>
      </c>
      <c r="N39">
        <v>2</v>
      </c>
      <c r="O39">
        <v>0</v>
      </c>
      <c r="P39">
        <v>15</v>
      </c>
      <c r="Q39">
        <v>13</v>
      </c>
      <c r="R39">
        <v>26</v>
      </c>
      <c r="S39">
        <v>0</v>
      </c>
      <c r="T39">
        <v>0</v>
      </c>
      <c r="U39">
        <v>0</v>
      </c>
      <c r="V39">
        <v>0</v>
      </c>
      <c r="W39">
        <v>0</v>
      </c>
      <c r="X39">
        <v>0</v>
      </c>
      <c r="Y39">
        <v>0</v>
      </c>
      <c r="Z39">
        <v>0</v>
      </c>
      <c r="AA39">
        <v>0</v>
      </c>
      <c r="AB39">
        <v>0</v>
      </c>
      <c r="AC39">
        <v>0</v>
      </c>
      <c r="AD39">
        <v>0</v>
      </c>
      <c r="AE39">
        <v>0</v>
      </c>
      <c r="AF39">
        <v>0</v>
      </c>
      <c r="AG39">
        <v>0</v>
      </c>
      <c r="AH39">
        <v>0</v>
      </c>
      <c r="AI39">
        <v>0</v>
      </c>
      <c r="AJ39">
        <v>0</v>
      </c>
      <c r="AK39">
        <v>0</v>
      </c>
      <c r="AL39">
        <v>0</v>
      </c>
      <c r="AM39">
        <v>0</v>
      </c>
      <c r="AN39">
        <v>26</v>
      </c>
      <c r="AO39">
        <v>0</v>
      </c>
      <c r="AP39">
        <v>0</v>
      </c>
      <c r="AQ39">
        <v>0</v>
      </c>
      <c r="AR39">
        <v>0</v>
      </c>
      <c r="AS39">
        <v>0</v>
      </c>
      <c r="AT39">
        <v>0</v>
      </c>
      <c r="AU39">
        <v>0</v>
      </c>
      <c r="AV39">
        <v>3</v>
      </c>
      <c r="AW39">
        <v>0</v>
      </c>
      <c r="AX39">
        <v>0</v>
      </c>
      <c r="AY39">
        <v>0</v>
      </c>
    </row>
    <row r="40" spans="1:51" x14ac:dyDescent="0.3">
      <c r="A40" t="s">
        <v>51</v>
      </c>
      <c r="B40" t="s">
        <v>52</v>
      </c>
      <c r="C40" t="s">
        <v>83</v>
      </c>
      <c r="D40" t="s">
        <v>107</v>
      </c>
      <c r="E40" t="s">
        <v>55</v>
      </c>
      <c r="F40">
        <v>11</v>
      </c>
      <c r="G40">
        <v>0</v>
      </c>
      <c r="H40">
        <v>0</v>
      </c>
      <c r="I40">
        <v>11</v>
      </c>
      <c r="J40">
        <v>0</v>
      </c>
      <c r="K40">
        <v>8</v>
      </c>
      <c r="L40">
        <v>42</v>
      </c>
      <c r="M40">
        <v>2</v>
      </c>
      <c r="N40">
        <v>3</v>
      </c>
      <c r="O40">
        <v>0</v>
      </c>
      <c r="P40">
        <v>7</v>
      </c>
      <c r="Q40">
        <v>7</v>
      </c>
      <c r="R40">
        <v>9</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row>
    <row r="41" spans="1:51" x14ac:dyDescent="0.3">
      <c r="A41" t="s">
        <v>51</v>
      </c>
      <c r="B41" t="s">
        <v>52</v>
      </c>
      <c r="C41" t="s">
        <v>108</v>
      </c>
      <c r="D41" t="s">
        <v>109</v>
      </c>
      <c r="E41" t="s">
        <v>55</v>
      </c>
      <c r="F41">
        <v>23</v>
      </c>
      <c r="G41">
        <v>0</v>
      </c>
      <c r="H41">
        <v>0</v>
      </c>
      <c r="I41">
        <v>23</v>
      </c>
      <c r="J41">
        <v>0</v>
      </c>
      <c r="K41">
        <v>21</v>
      </c>
      <c r="L41">
        <v>62</v>
      </c>
      <c r="M41">
        <v>1</v>
      </c>
      <c r="N41">
        <v>2</v>
      </c>
      <c r="O41">
        <v>1</v>
      </c>
      <c r="P41">
        <v>0</v>
      </c>
      <c r="Q41">
        <v>0</v>
      </c>
      <c r="R41">
        <v>0</v>
      </c>
      <c r="S41">
        <v>0</v>
      </c>
      <c r="T41">
        <v>0</v>
      </c>
      <c r="U41">
        <v>0</v>
      </c>
      <c r="V41">
        <v>0</v>
      </c>
      <c r="W41">
        <v>0</v>
      </c>
      <c r="X41">
        <v>0</v>
      </c>
      <c r="Y41">
        <v>0</v>
      </c>
      <c r="Z41">
        <v>0</v>
      </c>
      <c r="AA41">
        <v>0</v>
      </c>
      <c r="AB41">
        <v>0</v>
      </c>
      <c r="AC41">
        <v>0</v>
      </c>
      <c r="AD41">
        <v>0</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row>
    <row r="42" spans="1:51" x14ac:dyDescent="0.3">
      <c r="A42" t="s">
        <v>51</v>
      </c>
      <c r="B42" t="s">
        <v>52</v>
      </c>
      <c r="C42" t="s">
        <v>78</v>
      </c>
      <c r="D42" t="s">
        <v>110</v>
      </c>
      <c r="E42" t="s">
        <v>55</v>
      </c>
      <c r="F42">
        <v>41</v>
      </c>
      <c r="G42">
        <v>0</v>
      </c>
      <c r="H42">
        <v>0</v>
      </c>
      <c r="I42">
        <v>41</v>
      </c>
      <c r="J42">
        <v>0</v>
      </c>
      <c r="K42">
        <v>41</v>
      </c>
      <c r="L42">
        <v>233</v>
      </c>
      <c r="M42">
        <v>1</v>
      </c>
      <c r="N42">
        <v>4</v>
      </c>
      <c r="O42">
        <v>0</v>
      </c>
      <c r="P42">
        <v>32</v>
      </c>
      <c r="Q42">
        <v>21</v>
      </c>
      <c r="R42">
        <v>29</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20</v>
      </c>
      <c r="AW42">
        <v>0</v>
      </c>
      <c r="AX42">
        <v>0</v>
      </c>
      <c r="AY42">
        <v>0</v>
      </c>
    </row>
    <row r="43" spans="1:51" x14ac:dyDescent="0.3">
      <c r="A43" t="s">
        <v>51</v>
      </c>
      <c r="B43" t="s">
        <v>52</v>
      </c>
      <c r="C43" t="s">
        <v>101</v>
      </c>
      <c r="D43" t="s">
        <v>111</v>
      </c>
      <c r="E43" t="s">
        <v>55</v>
      </c>
      <c r="F43">
        <v>11</v>
      </c>
      <c r="G43">
        <v>0</v>
      </c>
      <c r="H43">
        <v>0</v>
      </c>
      <c r="I43">
        <v>11</v>
      </c>
      <c r="J43">
        <v>0</v>
      </c>
      <c r="K43">
        <v>10</v>
      </c>
      <c r="L43">
        <v>59</v>
      </c>
      <c r="M43">
        <v>0</v>
      </c>
      <c r="N43">
        <v>0</v>
      </c>
      <c r="O43">
        <v>0</v>
      </c>
      <c r="P43">
        <v>17</v>
      </c>
      <c r="Q43">
        <v>17</v>
      </c>
      <c r="R43">
        <v>5</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row>
    <row r="44" spans="1:51" x14ac:dyDescent="0.3">
      <c r="A44" t="s">
        <v>51</v>
      </c>
      <c r="B44" t="s">
        <v>52</v>
      </c>
      <c r="C44" t="s">
        <v>112</v>
      </c>
      <c r="D44" t="s">
        <v>113</v>
      </c>
      <c r="E44" t="s">
        <v>55</v>
      </c>
      <c r="F44">
        <v>39</v>
      </c>
      <c r="G44">
        <v>0</v>
      </c>
      <c r="H44">
        <v>0</v>
      </c>
      <c r="I44">
        <v>39</v>
      </c>
      <c r="J44">
        <v>0</v>
      </c>
      <c r="K44">
        <v>39</v>
      </c>
      <c r="L44">
        <v>242</v>
      </c>
      <c r="M44">
        <v>7</v>
      </c>
      <c r="N44">
        <v>5</v>
      </c>
      <c r="O44">
        <v>5</v>
      </c>
      <c r="P44">
        <v>42</v>
      </c>
      <c r="Q44">
        <v>23</v>
      </c>
      <c r="R44">
        <v>39</v>
      </c>
      <c r="S44">
        <v>1</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16</v>
      </c>
      <c r="AW44">
        <v>0</v>
      </c>
      <c r="AX44">
        <v>0</v>
      </c>
      <c r="AY44">
        <v>0</v>
      </c>
    </row>
    <row r="45" spans="1:51" x14ac:dyDescent="0.3">
      <c r="A45" t="s">
        <v>51</v>
      </c>
      <c r="B45" t="s">
        <v>52</v>
      </c>
      <c r="C45" t="s">
        <v>112</v>
      </c>
      <c r="D45" t="s">
        <v>114</v>
      </c>
      <c r="E45" t="s">
        <v>55</v>
      </c>
      <c r="F45">
        <v>80</v>
      </c>
      <c r="G45">
        <v>0</v>
      </c>
      <c r="H45">
        <v>0</v>
      </c>
      <c r="I45">
        <v>79</v>
      </c>
      <c r="J45">
        <v>0</v>
      </c>
      <c r="K45">
        <v>79</v>
      </c>
      <c r="L45">
        <v>340</v>
      </c>
      <c r="M45">
        <v>7</v>
      </c>
      <c r="N45">
        <v>8</v>
      </c>
      <c r="O45">
        <v>3</v>
      </c>
      <c r="P45">
        <v>83</v>
      </c>
      <c r="Q45">
        <v>46</v>
      </c>
      <c r="R45">
        <v>104</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19</v>
      </c>
      <c r="AW45">
        <v>2</v>
      </c>
      <c r="AX45">
        <v>0</v>
      </c>
      <c r="AY45">
        <v>0</v>
      </c>
    </row>
    <row r="46" spans="1:51" x14ac:dyDescent="0.3">
      <c r="A46" t="s">
        <v>51</v>
      </c>
      <c r="B46" t="s">
        <v>52</v>
      </c>
      <c r="C46" t="s">
        <v>108</v>
      </c>
      <c r="D46" t="s">
        <v>115</v>
      </c>
      <c r="E46" t="s">
        <v>55</v>
      </c>
      <c r="F46">
        <v>29</v>
      </c>
      <c r="G46">
        <v>0</v>
      </c>
      <c r="H46">
        <v>0</v>
      </c>
      <c r="I46">
        <v>29</v>
      </c>
      <c r="J46">
        <v>0</v>
      </c>
      <c r="K46">
        <v>26</v>
      </c>
      <c r="L46">
        <v>99</v>
      </c>
      <c r="M46">
        <v>1</v>
      </c>
      <c r="N46">
        <v>1</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row>
    <row r="47" spans="1:51" x14ac:dyDescent="0.3">
      <c r="A47" t="s">
        <v>51</v>
      </c>
      <c r="B47" t="s">
        <v>52</v>
      </c>
      <c r="C47" t="s">
        <v>108</v>
      </c>
      <c r="D47" t="s">
        <v>116</v>
      </c>
      <c r="E47" t="s">
        <v>55</v>
      </c>
      <c r="F47">
        <v>30</v>
      </c>
      <c r="G47">
        <v>0</v>
      </c>
      <c r="H47">
        <v>0</v>
      </c>
      <c r="I47">
        <v>30</v>
      </c>
      <c r="J47">
        <v>0</v>
      </c>
      <c r="K47">
        <v>29</v>
      </c>
      <c r="L47">
        <v>78</v>
      </c>
      <c r="M47">
        <v>0</v>
      </c>
      <c r="N47">
        <v>0</v>
      </c>
      <c r="O47">
        <v>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row>
    <row r="48" spans="1:51" x14ac:dyDescent="0.3">
      <c r="A48" t="s">
        <v>51</v>
      </c>
      <c r="B48" t="s">
        <v>52</v>
      </c>
      <c r="C48" t="s">
        <v>98</v>
      </c>
      <c r="D48" t="s">
        <v>117</v>
      </c>
      <c r="E48" t="s">
        <v>55</v>
      </c>
      <c r="F48">
        <v>38</v>
      </c>
      <c r="G48">
        <v>0</v>
      </c>
      <c r="H48">
        <v>0</v>
      </c>
      <c r="I48">
        <v>38</v>
      </c>
      <c r="J48">
        <v>0</v>
      </c>
      <c r="K48">
        <v>36</v>
      </c>
      <c r="L48">
        <v>414</v>
      </c>
      <c r="M48">
        <v>2</v>
      </c>
      <c r="N48">
        <v>5</v>
      </c>
      <c r="O48">
        <v>0</v>
      </c>
      <c r="P48">
        <v>45</v>
      </c>
      <c r="Q48">
        <v>45</v>
      </c>
      <c r="R48">
        <v>21</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0</v>
      </c>
      <c r="AV48">
        <v>20</v>
      </c>
      <c r="AW48">
        <v>0</v>
      </c>
      <c r="AX48">
        <v>0</v>
      </c>
      <c r="AY48">
        <v>0</v>
      </c>
    </row>
    <row r="49" spans="1:51" x14ac:dyDescent="0.3">
      <c r="A49" t="s">
        <v>51</v>
      </c>
      <c r="B49" t="s">
        <v>52</v>
      </c>
      <c r="C49" t="s">
        <v>98</v>
      </c>
      <c r="D49" t="s">
        <v>118</v>
      </c>
      <c r="E49" t="s">
        <v>55</v>
      </c>
      <c r="F49">
        <v>24</v>
      </c>
      <c r="G49">
        <v>0</v>
      </c>
      <c r="H49">
        <v>0</v>
      </c>
      <c r="I49">
        <v>24</v>
      </c>
      <c r="J49">
        <v>0</v>
      </c>
      <c r="K49">
        <v>22</v>
      </c>
      <c r="L49">
        <v>246</v>
      </c>
      <c r="M49">
        <v>5</v>
      </c>
      <c r="N49">
        <v>5</v>
      </c>
      <c r="O49">
        <v>1</v>
      </c>
      <c r="P49">
        <v>19</v>
      </c>
      <c r="Q49">
        <v>20</v>
      </c>
      <c r="R49">
        <v>10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9</v>
      </c>
      <c r="AW49">
        <v>0</v>
      </c>
      <c r="AX49">
        <v>0</v>
      </c>
      <c r="AY49">
        <v>0</v>
      </c>
    </row>
    <row r="50" spans="1:51" x14ac:dyDescent="0.3">
      <c r="A50" t="s">
        <v>51</v>
      </c>
      <c r="B50" t="s">
        <v>52</v>
      </c>
      <c r="C50" t="s">
        <v>119</v>
      </c>
      <c r="D50" t="s">
        <v>120</v>
      </c>
      <c r="E50" t="s">
        <v>55</v>
      </c>
      <c r="F50">
        <v>42</v>
      </c>
      <c r="G50">
        <v>0</v>
      </c>
      <c r="H50">
        <v>0</v>
      </c>
      <c r="I50">
        <v>41</v>
      </c>
      <c r="J50">
        <v>0</v>
      </c>
      <c r="K50">
        <v>38</v>
      </c>
      <c r="L50">
        <v>271</v>
      </c>
      <c r="M50">
        <v>4</v>
      </c>
      <c r="N50">
        <v>1</v>
      </c>
      <c r="O50">
        <v>0</v>
      </c>
      <c r="P50">
        <v>44</v>
      </c>
      <c r="Q50">
        <v>44</v>
      </c>
      <c r="R50">
        <v>0</v>
      </c>
      <c r="S50">
        <v>13</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8</v>
      </c>
      <c r="AW50">
        <v>0</v>
      </c>
      <c r="AX50">
        <v>0</v>
      </c>
      <c r="AY50">
        <v>0</v>
      </c>
    </row>
    <row r="51" spans="1:51" x14ac:dyDescent="0.3">
      <c r="A51" t="s">
        <v>51</v>
      </c>
      <c r="B51" t="s">
        <v>52</v>
      </c>
      <c r="C51" t="s">
        <v>121</v>
      </c>
      <c r="D51" t="s">
        <v>122</v>
      </c>
      <c r="E51" t="s">
        <v>55</v>
      </c>
      <c r="F51">
        <v>5</v>
      </c>
      <c r="G51">
        <v>0</v>
      </c>
      <c r="H51">
        <v>0</v>
      </c>
      <c r="I51">
        <v>5</v>
      </c>
      <c r="J51">
        <v>0</v>
      </c>
      <c r="K51">
        <v>5</v>
      </c>
      <c r="L51">
        <v>34</v>
      </c>
      <c r="M51">
        <v>0</v>
      </c>
      <c r="N51">
        <v>0</v>
      </c>
      <c r="O51">
        <v>0</v>
      </c>
      <c r="P51">
        <v>7</v>
      </c>
      <c r="Q51">
        <v>6</v>
      </c>
      <c r="R51">
        <v>3</v>
      </c>
      <c r="S51">
        <v>0</v>
      </c>
      <c r="T51">
        <v>0</v>
      </c>
      <c r="U51">
        <v>0</v>
      </c>
      <c r="V51">
        <v>0</v>
      </c>
      <c r="W51">
        <v>0</v>
      </c>
      <c r="X51">
        <v>8</v>
      </c>
      <c r="Y51">
        <v>1</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row>
    <row r="52" spans="1:51" x14ac:dyDescent="0.3">
      <c r="A52" t="s">
        <v>51</v>
      </c>
      <c r="B52" t="s">
        <v>52</v>
      </c>
      <c r="C52" t="s">
        <v>121</v>
      </c>
      <c r="D52" t="s">
        <v>123</v>
      </c>
      <c r="E52" t="s">
        <v>55</v>
      </c>
      <c r="F52">
        <v>12</v>
      </c>
      <c r="G52">
        <v>0</v>
      </c>
      <c r="H52">
        <v>0</v>
      </c>
      <c r="I52">
        <v>12</v>
      </c>
      <c r="J52">
        <v>0</v>
      </c>
      <c r="K52">
        <v>12</v>
      </c>
      <c r="L52">
        <v>78</v>
      </c>
      <c r="M52">
        <v>1</v>
      </c>
      <c r="N52">
        <v>1</v>
      </c>
      <c r="O52">
        <v>0</v>
      </c>
      <c r="P52">
        <v>15</v>
      </c>
      <c r="Q52">
        <v>12</v>
      </c>
      <c r="R52">
        <v>13</v>
      </c>
      <c r="S52">
        <v>0</v>
      </c>
      <c r="T52">
        <v>0</v>
      </c>
      <c r="U52">
        <v>0</v>
      </c>
      <c r="V52">
        <v>0</v>
      </c>
      <c r="W52">
        <v>0</v>
      </c>
      <c r="X52">
        <v>6</v>
      </c>
      <c r="Y52">
        <v>3</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row>
    <row r="53" spans="1:51" x14ac:dyDescent="0.3">
      <c r="A53" t="s">
        <v>51</v>
      </c>
      <c r="B53" t="s">
        <v>52</v>
      </c>
      <c r="C53" t="s">
        <v>119</v>
      </c>
      <c r="D53" t="s">
        <v>124</v>
      </c>
      <c r="E53" t="s">
        <v>55</v>
      </c>
      <c r="F53">
        <v>34</v>
      </c>
      <c r="G53">
        <v>0</v>
      </c>
      <c r="H53">
        <v>0</v>
      </c>
      <c r="I53">
        <v>34</v>
      </c>
      <c r="J53">
        <v>0</v>
      </c>
      <c r="K53">
        <v>34</v>
      </c>
      <c r="L53">
        <v>197</v>
      </c>
      <c r="M53">
        <v>3</v>
      </c>
      <c r="N53">
        <v>1</v>
      </c>
      <c r="O53">
        <v>0</v>
      </c>
      <c r="P53">
        <v>26</v>
      </c>
      <c r="Q53">
        <v>25</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8</v>
      </c>
      <c r="AW53">
        <v>0</v>
      </c>
      <c r="AX53">
        <v>0</v>
      </c>
      <c r="AY53">
        <v>0</v>
      </c>
    </row>
    <row r="54" spans="1:51" x14ac:dyDescent="0.3">
      <c r="A54" t="s">
        <v>51</v>
      </c>
      <c r="B54" t="s">
        <v>52</v>
      </c>
      <c r="C54" t="s">
        <v>119</v>
      </c>
      <c r="D54" t="s">
        <v>125</v>
      </c>
      <c r="E54" t="s">
        <v>55</v>
      </c>
      <c r="F54">
        <v>23</v>
      </c>
      <c r="G54">
        <v>0</v>
      </c>
      <c r="H54">
        <v>0</v>
      </c>
      <c r="I54">
        <v>23</v>
      </c>
      <c r="J54">
        <v>0</v>
      </c>
      <c r="K54">
        <v>23</v>
      </c>
      <c r="L54">
        <v>120</v>
      </c>
      <c r="M54">
        <v>6</v>
      </c>
      <c r="N54">
        <v>1</v>
      </c>
      <c r="O54">
        <v>2</v>
      </c>
      <c r="P54">
        <v>22</v>
      </c>
      <c r="Q54">
        <v>20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2</v>
      </c>
      <c r="AW54">
        <v>0</v>
      </c>
      <c r="AX54">
        <v>0</v>
      </c>
      <c r="AY54">
        <v>0</v>
      </c>
    </row>
    <row r="55" spans="1:51" x14ac:dyDescent="0.3">
      <c r="A55" t="s">
        <v>51</v>
      </c>
      <c r="B55" t="s">
        <v>52</v>
      </c>
      <c r="C55" t="s">
        <v>126</v>
      </c>
      <c r="D55" t="s">
        <v>127</v>
      </c>
      <c r="E55" t="s">
        <v>55</v>
      </c>
      <c r="F55">
        <v>19</v>
      </c>
      <c r="G55">
        <v>0</v>
      </c>
      <c r="H55">
        <v>0</v>
      </c>
      <c r="I55">
        <v>19</v>
      </c>
      <c r="J55">
        <v>0</v>
      </c>
      <c r="K55">
        <v>16</v>
      </c>
      <c r="L55">
        <v>76</v>
      </c>
      <c r="M55">
        <v>0</v>
      </c>
      <c r="N55">
        <v>0</v>
      </c>
      <c r="O55">
        <v>0</v>
      </c>
      <c r="P55">
        <v>12</v>
      </c>
      <c r="Q55">
        <v>12</v>
      </c>
      <c r="R55">
        <v>11</v>
      </c>
      <c r="S55">
        <v>12</v>
      </c>
      <c r="T55">
        <v>0</v>
      </c>
      <c r="U55">
        <v>0</v>
      </c>
      <c r="V55">
        <v>0</v>
      </c>
      <c r="W55">
        <v>0</v>
      </c>
      <c r="X55">
        <v>0</v>
      </c>
      <c r="Y55">
        <v>1</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1</v>
      </c>
      <c r="AW55">
        <v>0</v>
      </c>
      <c r="AX55">
        <v>0</v>
      </c>
      <c r="AY55">
        <v>0</v>
      </c>
    </row>
    <row r="56" spans="1:51" x14ac:dyDescent="0.3">
      <c r="A56" t="s">
        <v>51</v>
      </c>
      <c r="B56" t="s">
        <v>52</v>
      </c>
      <c r="C56" t="s">
        <v>126</v>
      </c>
      <c r="D56" t="s">
        <v>128</v>
      </c>
      <c r="E56" t="s">
        <v>55</v>
      </c>
      <c r="F56">
        <v>22</v>
      </c>
      <c r="G56">
        <v>0</v>
      </c>
      <c r="H56">
        <v>0</v>
      </c>
      <c r="I56">
        <v>22</v>
      </c>
      <c r="J56">
        <v>0</v>
      </c>
      <c r="K56">
        <v>21</v>
      </c>
      <c r="L56">
        <v>114</v>
      </c>
      <c r="M56">
        <v>0</v>
      </c>
      <c r="N56">
        <v>0</v>
      </c>
      <c r="O56">
        <v>0</v>
      </c>
      <c r="P56">
        <v>17</v>
      </c>
      <c r="Q56">
        <v>12</v>
      </c>
      <c r="R56">
        <v>9</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0</v>
      </c>
      <c r="AS56">
        <v>0</v>
      </c>
      <c r="AT56">
        <v>0</v>
      </c>
      <c r="AU56">
        <v>0</v>
      </c>
      <c r="AV56">
        <v>0</v>
      </c>
      <c r="AW56">
        <v>0</v>
      </c>
      <c r="AX56">
        <v>0</v>
      </c>
      <c r="AY56">
        <v>0</v>
      </c>
    </row>
    <row r="57" spans="1:51" x14ac:dyDescent="0.3">
      <c r="A57" t="s">
        <v>51</v>
      </c>
      <c r="B57" t="s">
        <v>52</v>
      </c>
      <c r="C57" t="s">
        <v>78</v>
      </c>
      <c r="D57" t="s">
        <v>129</v>
      </c>
      <c r="E57" t="s">
        <v>55</v>
      </c>
      <c r="F57">
        <v>38</v>
      </c>
      <c r="G57">
        <v>0</v>
      </c>
      <c r="H57">
        <v>0</v>
      </c>
      <c r="I57">
        <v>38</v>
      </c>
      <c r="J57">
        <v>0</v>
      </c>
      <c r="K57">
        <v>38</v>
      </c>
      <c r="L57">
        <v>243</v>
      </c>
      <c r="M57">
        <v>0</v>
      </c>
      <c r="N57">
        <v>0</v>
      </c>
      <c r="O57">
        <v>0</v>
      </c>
      <c r="P57">
        <v>36</v>
      </c>
      <c r="Q57">
        <v>32</v>
      </c>
      <c r="R57">
        <v>21</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0</v>
      </c>
      <c r="AR57">
        <v>0</v>
      </c>
      <c r="AS57">
        <v>0</v>
      </c>
      <c r="AT57">
        <v>0</v>
      </c>
      <c r="AU57">
        <v>0</v>
      </c>
      <c r="AV57">
        <v>14</v>
      </c>
      <c r="AW57">
        <v>0</v>
      </c>
      <c r="AX57">
        <v>0</v>
      </c>
      <c r="AY57">
        <v>0</v>
      </c>
    </row>
    <row r="58" spans="1:51" x14ac:dyDescent="0.3">
      <c r="A58" t="s">
        <v>51</v>
      </c>
      <c r="B58" t="s">
        <v>52</v>
      </c>
      <c r="C58" t="s">
        <v>103</v>
      </c>
      <c r="D58" t="s">
        <v>130</v>
      </c>
      <c r="E58" t="s">
        <v>55</v>
      </c>
      <c r="F58">
        <v>12</v>
      </c>
      <c r="G58">
        <v>0</v>
      </c>
      <c r="H58">
        <v>0</v>
      </c>
      <c r="I58">
        <v>12</v>
      </c>
      <c r="J58">
        <v>0</v>
      </c>
      <c r="K58">
        <v>10</v>
      </c>
      <c r="L58">
        <v>75</v>
      </c>
      <c r="M58">
        <v>0</v>
      </c>
      <c r="N58">
        <v>0</v>
      </c>
      <c r="O58">
        <v>0</v>
      </c>
      <c r="P58">
        <v>12</v>
      </c>
      <c r="Q58">
        <v>12</v>
      </c>
      <c r="R58">
        <v>11</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row>
    <row r="59" spans="1:51" x14ac:dyDescent="0.3">
      <c r="A59" t="s">
        <v>51</v>
      </c>
      <c r="B59" t="s">
        <v>52</v>
      </c>
      <c r="C59" t="s">
        <v>83</v>
      </c>
      <c r="D59" t="s">
        <v>131</v>
      </c>
      <c r="E59" t="s">
        <v>55</v>
      </c>
      <c r="F59">
        <v>39</v>
      </c>
      <c r="G59">
        <v>0</v>
      </c>
      <c r="H59">
        <v>0</v>
      </c>
      <c r="I59">
        <v>39</v>
      </c>
      <c r="J59">
        <v>0</v>
      </c>
      <c r="K59">
        <v>32</v>
      </c>
      <c r="L59">
        <v>174</v>
      </c>
      <c r="M59">
        <v>0</v>
      </c>
      <c r="N59">
        <v>0</v>
      </c>
      <c r="O59">
        <v>0</v>
      </c>
      <c r="P59">
        <v>33</v>
      </c>
      <c r="Q59">
        <v>31</v>
      </c>
      <c r="R59">
        <v>34</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18</v>
      </c>
      <c r="AW59">
        <v>0</v>
      </c>
      <c r="AX59">
        <v>0</v>
      </c>
      <c r="AY59">
        <v>0</v>
      </c>
    </row>
    <row r="60" spans="1:51" x14ac:dyDescent="0.3">
      <c r="A60" t="s">
        <v>51</v>
      </c>
      <c r="B60" t="s">
        <v>52</v>
      </c>
      <c r="C60" t="s">
        <v>83</v>
      </c>
      <c r="D60" t="s">
        <v>132</v>
      </c>
      <c r="E60" t="s">
        <v>55</v>
      </c>
      <c r="F60">
        <v>28</v>
      </c>
      <c r="G60">
        <v>0</v>
      </c>
      <c r="H60">
        <v>0</v>
      </c>
      <c r="I60">
        <v>28</v>
      </c>
      <c r="J60">
        <v>0</v>
      </c>
      <c r="K60">
        <v>27</v>
      </c>
      <c r="L60">
        <v>124</v>
      </c>
      <c r="M60">
        <v>0</v>
      </c>
      <c r="N60">
        <v>0</v>
      </c>
      <c r="O60">
        <v>0</v>
      </c>
      <c r="P60">
        <v>12</v>
      </c>
      <c r="Q60">
        <v>12</v>
      </c>
      <c r="R60">
        <v>26</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11</v>
      </c>
      <c r="AW60">
        <v>0</v>
      </c>
      <c r="AX60">
        <v>0</v>
      </c>
      <c r="AY60">
        <v>0</v>
      </c>
    </row>
    <row r="61" spans="1:51" x14ac:dyDescent="0.3">
      <c r="A61" t="s">
        <v>51</v>
      </c>
      <c r="B61" t="s">
        <v>52</v>
      </c>
      <c r="C61" t="s">
        <v>83</v>
      </c>
      <c r="D61" t="s">
        <v>133</v>
      </c>
      <c r="E61" t="s">
        <v>55</v>
      </c>
      <c r="F61">
        <v>36</v>
      </c>
      <c r="G61">
        <v>0</v>
      </c>
      <c r="H61">
        <v>0</v>
      </c>
      <c r="I61">
        <v>36</v>
      </c>
      <c r="J61">
        <v>0</v>
      </c>
      <c r="K61">
        <v>36</v>
      </c>
      <c r="L61">
        <v>110</v>
      </c>
      <c r="M61">
        <v>1</v>
      </c>
      <c r="N61">
        <v>1</v>
      </c>
      <c r="O61">
        <v>0</v>
      </c>
      <c r="P61">
        <v>26</v>
      </c>
      <c r="Q61">
        <v>26</v>
      </c>
      <c r="R61">
        <v>31</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row>
    <row r="62" spans="1:51" x14ac:dyDescent="0.3">
      <c r="A62" t="s">
        <v>51</v>
      </c>
      <c r="B62" t="s">
        <v>52</v>
      </c>
      <c r="C62" t="s">
        <v>92</v>
      </c>
      <c r="D62" t="s">
        <v>134</v>
      </c>
      <c r="E62" t="s">
        <v>55</v>
      </c>
      <c r="F62">
        <v>26</v>
      </c>
      <c r="G62">
        <v>0</v>
      </c>
      <c r="H62">
        <v>0</v>
      </c>
      <c r="I62">
        <v>26</v>
      </c>
      <c r="J62">
        <v>0</v>
      </c>
      <c r="K62">
        <v>24</v>
      </c>
      <c r="L62">
        <v>153</v>
      </c>
      <c r="M62">
        <v>5</v>
      </c>
      <c r="N62">
        <v>3</v>
      </c>
      <c r="O62">
        <v>1</v>
      </c>
      <c r="P62">
        <v>19</v>
      </c>
      <c r="Q62">
        <v>4</v>
      </c>
      <c r="R62">
        <v>0</v>
      </c>
      <c r="S62">
        <v>0</v>
      </c>
      <c r="T62">
        <v>0</v>
      </c>
      <c r="U62">
        <v>0</v>
      </c>
      <c r="V62">
        <v>0</v>
      </c>
      <c r="W62">
        <v>0</v>
      </c>
      <c r="X62">
        <v>7</v>
      </c>
      <c r="Y62">
        <v>0</v>
      </c>
      <c r="Z62">
        <v>0</v>
      </c>
      <c r="AA62">
        <v>0</v>
      </c>
      <c r="AB62">
        <v>1</v>
      </c>
      <c r="AC62">
        <v>0</v>
      </c>
      <c r="AD62">
        <v>0</v>
      </c>
      <c r="AE62">
        <v>0</v>
      </c>
      <c r="AF62">
        <v>0</v>
      </c>
      <c r="AG62">
        <v>0</v>
      </c>
      <c r="AH62">
        <v>0</v>
      </c>
      <c r="AI62">
        <v>0</v>
      </c>
      <c r="AJ62">
        <v>0</v>
      </c>
      <c r="AK62">
        <v>0</v>
      </c>
      <c r="AL62">
        <v>0</v>
      </c>
      <c r="AM62">
        <v>0</v>
      </c>
      <c r="AN62">
        <v>0</v>
      </c>
      <c r="AO62">
        <v>0</v>
      </c>
      <c r="AP62">
        <v>0</v>
      </c>
      <c r="AQ62">
        <v>0</v>
      </c>
      <c r="AR62">
        <v>0</v>
      </c>
      <c r="AS62">
        <v>0</v>
      </c>
      <c r="AT62">
        <v>0</v>
      </c>
      <c r="AU62">
        <v>0</v>
      </c>
      <c r="AV62">
        <v>9</v>
      </c>
      <c r="AW62">
        <v>0</v>
      </c>
      <c r="AX62">
        <v>0</v>
      </c>
      <c r="AY62">
        <v>0</v>
      </c>
    </row>
    <row r="63" spans="1:51" x14ac:dyDescent="0.3">
      <c r="A63" t="s">
        <v>51</v>
      </c>
      <c r="B63" t="s">
        <v>52</v>
      </c>
      <c r="C63" t="s">
        <v>103</v>
      </c>
      <c r="D63" t="s">
        <v>135</v>
      </c>
      <c r="E63" t="s">
        <v>55</v>
      </c>
      <c r="F63">
        <v>24</v>
      </c>
      <c r="G63">
        <v>0</v>
      </c>
      <c r="H63">
        <v>0</v>
      </c>
      <c r="I63">
        <v>24</v>
      </c>
      <c r="J63">
        <v>0</v>
      </c>
      <c r="K63">
        <v>24</v>
      </c>
      <c r="L63">
        <v>179</v>
      </c>
      <c r="M63">
        <v>0</v>
      </c>
      <c r="N63">
        <v>1</v>
      </c>
      <c r="O63">
        <v>0</v>
      </c>
      <c r="P63">
        <v>25</v>
      </c>
      <c r="Q63">
        <v>25</v>
      </c>
      <c r="R63">
        <v>25</v>
      </c>
      <c r="S63">
        <v>0</v>
      </c>
      <c r="T63">
        <v>0</v>
      </c>
      <c r="U63">
        <v>0</v>
      </c>
      <c r="V63">
        <v>0</v>
      </c>
      <c r="W63">
        <v>0</v>
      </c>
      <c r="X63">
        <v>8</v>
      </c>
      <c r="Y63">
        <v>1</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row>
    <row r="64" spans="1:51" x14ac:dyDescent="0.3">
      <c r="A64" t="s">
        <v>51</v>
      </c>
      <c r="B64" t="s">
        <v>52</v>
      </c>
      <c r="C64" t="s">
        <v>98</v>
      </c>
      <c r="D64" t="s">
        <v>136</v>
      </c>
      <c r="E64" t="s">
        <v>55</v>
      </c>
      <c r="F64">
        <v>33</v>
      </c>
      <c r="G64">
        <v>0</v>
      </c>
      <c r="H64">
        <v>0</v>
      </c>
      <c r="I64">
        <v>33</v>
      </c>
      <c r="J64">
        <v>0</v>
      </c>
      <c r="K64">
        <v>33</v>
      </c>
      <c r="L64">
        <v>339</v>
      </c>
      <c r="M64">
        <v>2</v>
      </c>
      <c r="N64">
        <v>0</v>
      </c>
      <c r="O64">
        <v>0</v>
      </c>
      <c r="P64">
        <v>29</v>
      </c>
      <c r="Q64">
        <v>29</v>
      </c>
      <c r="R64">
        <v>24</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14</v>
      </c>
      <c r="AW64">
        <v>0</v>
      </c>
      <c r="AX64">
        <v>0</v>
      </c>
      <c r="AY64">
        <v>0</v>
      </c>
    </row>
    <row r="65" spans="1:51" x14ac:dyDescent="0.3">
      <c r="A65" t="s">
        <v>51</v>
      </c>
      <c r="B65" t="s">
        <v>52</v>
      </c>
      <c r="C65" t="s">
        <v>121</v>
      </c>
      <c r="D65" t="s">
        <v>137</v>
      </c>
      <c r="E65" t="s">
        <v>55</v>
      </c>
      <c r="F65">
        <v>28</v>
      </c>
      <c r="G65">
        <v>0</v>
      </c>
      <c r="H65">
        <v>0</v>
      </c>
      <c r="I65">
        <v>28</v>
      </c>
      <c r="J65">
        <v>0</v>
      </c>
      <c r="K65">
        <v>27</v>
      </c>
      <c r="L65">
        <v>177</v>
      </c>
      <c r="M65">
        <v>0</v>
      </c>
      <c r="N65">
        <v>0</v>
      </c>
      <c r="O65">
        <v>0</v>
      </c>
      <c r="P65">
        <v>16</v>
      </c>
      <c r="Q65">
        <v>13</v>
      </c>
      <c r="R65">
        <v>26</v>
      </c>
      <c r="S65">
        <v>0</v>
      </c>
      <c r="T65">
        <v>0</v>
      </c>
      <c r="U65">
        <v>0</v>
      </c>
      <c r="V65">
        <v>0</v>
      </c>
      <c r="W65">
        <v>0</v>
      </c>
      <c r="X65">
        <v>16</v>
      </c>
      <c r="Y65">
        <v>1</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1</v>
      </c>
      <c r="AW65">
        <v>0</v>
      </c>
      <c r="AX65">
        <v>0</v>
      </c>
      <c r="AY65">
        <v>0</v>
      </c>
    </row>
    <row r="66" spans="1:51" x14ac:dyDescent="0.3">
      <c r="A66" t="s">
        <v>51</v>
      </c>
      <c r="B66" t="s">
        <v>52</v>
      </c>
      <c r="C66" t="s">
        <v>121</v>
      </c>
      <c r="D66" t="s">
        <v>138</v>
      </c>
      <c r="E66" t="s">
        <v>55</v>
      </c>
      <c r="F66">
        <v>6</v>
      </c>
      <c r="G66">
        <v>0</v>
      </c>
      <c r="H66">
        <v>0</v>
      </c>
      <c r="I66">
        <v>6</v>
      </c>
      <c r="J66">
        <v>0</v>
      </c>
      <c r="K66">
        <v>6</v>
      </c>
      <c r="L66">
        <v>40</v>
      </c>
      <c r="M66">
        <v>1</v>
      </c>
      <c r="N66">
        <v>2</v>
      </c>
      <c r="O66">
        <v>0</v>
      </c>
      <c r="P66">
        <v>9</v>
      </c>
      <c r="Q66">
        <v>7</v>
      </c>
      <c r="R66">
        <v>8</v>
      </c>
      <c r="S66">
        <v>0</v>
      </c>
      <c r="T66">
        <v>0</v>
      </c>
      <c r="U66">
        <v>0</v>
      </c>
      <c r="V66">
        <v>0</v>
      </c>
      <c r="W66">
        <v>0</v>
      </c>
      <c r="X66">
        <v>4</v>
      </c>
      <c r="Y66">
        <v>0</v>
      </c>
      <c r="Z66">
        <v>0</v>
      </c>
      <c r="AA66">
        <v>0</v>
      </c>
      <c r="AB66">
        <v>0</v>
      </c>
      <c r="AC66">
        <v>0</v>
      </c>
      <c r="AD66">
        <v>0</v>
      </c>
      <c r="AE66">
        <v>0</v>
      </c>
      <c r="AF66">
        <v>0</v>
      </c>
      <c r="AG66">
        <v>0</v>
      </c>
      <c r="AH66">
        <v>0</v>
      </c>
      <c r="AI66">
        <v>0</v>
      </c>
      <c r="AJ66">
        <v>0</v>
      </c>
      <c r="AK66">
        <v>0</v>
      </c>
      <c r="AL66">
        <v>0</v>
      </c>
      <c r="AM66">
        <v>0</v>
      </c>
      <c r="AN66">
        <v>0</v>
      </c>
      <c r="AO66">
        <v>0</v>
      </c>
      <c r="AP66">
        <v>0</v>
      </c>
      <c r="AQ66">
        <v>0</v>
      </c>
      <c r="AR66">
        <v>0</v>
      </c>
      <c r="AS66">
        <v>0</v>
      </c>
      <c r="AT66">
        <v>0</v>
      </c>
      <c r="AU66">
        <v>0</v>
      </c>
      <c r="AV66">
        <v>0</v>
      </c>
      <c r="AW66">
        <v>0</v>
      </c>
      <c r="AX66">
        <v>0</v>
      </c>
      <c r="AY66">
        <v>0</v>
      </c>
    </row>
    <row r="67" spans="1:51" x14ac:dyDescent="0.3">
      <c r="A67" t="s">
        <v>51</v>
      </c>
      <c r="B67" t="s">
        <v>52</v>
      </c>
      <c r="C67" t="s">
        <v>98</v>
      </c>
      <c r="D67" t="s">
        <v>139</v>
      </c>
      <c r="E67" t="s">
        <v>55</v>
      </c>
      <c r="F67">
        <v>35</v>
      </c>
      <c r="G67">
        <v>0</v>
      </c>
      <c r="H67">
        <v>0</v>
      </c>
      <c r="I67">
        <v>35</v>
      </c>
      <c r="J67">
        <v>0</v>
      </c>
      <c r="K67">
        <v>35</v>
      </c>
      <c r="L67">
        <v>400</v>
      </c>
      <c r="M67">
        <v>5</v>
      </c>
      <c r="N67">
        <v>2</v>
      </c>
      <c r="O67">
        <v>3</v>
      </c>
      <c r="P67">
        <v>29</v>
      </c>
      <c r="Q67">
        <v>26</v>
      </c>
      <c r="R67">
        <v>27</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16</v>
      </c>
      <c r="AW67">
        <v>0</v>
      </c>
      <c r="AX67">
        <v>0</v>
      </c>
      <c r="AY67">
        <v>0</v>
      </c>
    </row>
    <row r="68" spans="1:51" x14ac:dyDescent="0.3">
      <c r="A68" t="s">
        <v>51</v>
      </c>
      <c r="B68" t="s">
        <v>52</v>
      </c>
      <c r="C68" t="s">
        <v>98</v>
      </c>
      <c r="D68" t="s">
        <v>140</v>
      </c>
      <c r="E68" t="s">
        <v>55</v>
      </c>
      <c r="F68">
        <v>31</v>
      </c>
      <c r="G68">
        <v>0</v>
      </c>
      <c r="H68">
        <v>0</v>
      </c>
      <c r="I68">
        <v>31</v>
      </c>
      <c r="J68">
        <v>0</v>
      </c>
      <c r="K68">
        <v>23</v>
      </c>
      <c r="L68">
        <v>304</v>
      </c>
      <c r="M68">
        <v>0</v>
      </c>
      <c r="N68">
        <v>1</v>
      </c>
      <c r="O68">
        <v>0</v>
      </c>
      <c r="P68">
        <v>28</v>
      </c>
      <c r="Q68">
        <v>28</v>
      </c>
      <c r="R68">
        <v>9</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11</v>
      </c>
      <c r="AW68">
        <v>0</v>
      </c>
      <c r="AX68">
        <v>0</v>
      </c>
      <c r="AY68">
        <v>0</v>
      </c>
    </row>
    <row r="69" spans="1:51" x14ac:dyDescent="0.3">
      <c r="A69" t="s">
        <v>51</v>
      </c>
      <c r="B69" t="s">
        <v>52</v>
      </c>
      <c r="C69" t="s">
        <v>108</v>
      </c>
      <c r="D69" t="s">
        <v>141</v>
      </c>
      <c r="E69" t="s">
        <v>55</v>
      </c>
      <c r="F69">
        <v>31</v>
      </c>
      <c r="G69">
        <v>0</v>
      </c>
      <c r="H69">
        <v>0</v>
      </c>
      <c r="I69">
        <v>31</v>
      </c>
      <c r="J69">
        <v>0</v>
      </c>
      <c r="K69">
        <v>30</v>
      </c>
      <c r="L69">
        <v>93</v>
      </c>
      <c r="M69">
        <v>1</v>
      </c>
      <c r="N69">
        <v>2</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0</v>
      </c>
      <c r="AN69">
        <v>0</v>
      </c>
      <c r="AO69">
        <v>0</v>
      </c>
      <c r="AP69">
        <v>0</v>
      </c>
      <c r="AQ69">
        <v>0</v>
      </c>
      <c r="AR69">
        <v>0</v>
      </c>
      <c r="AS69">
        <v>0</v>
      </c>
      <c r="AT69">
        <v>0</v>
      </c>
      <c r="AU69">
        <v>0</v>
      </c>
      <c r="AV69">
        <v>0</v>
      </c>
      <c r="AW69">
        <v>0</v>
      </c>
      <c r="AX69">
        <v>0</v>
      </c>
      <c r="AY69">
        <v>0</v>
      </c>
    </row>
    <row r="70" spans="1:51" x14ac:dyDescent="0.3">
      <c r="A70" t="s">
        <v>51</v>
      </c>
      <c r="B70" t="s">
        <v>52</v>
      </c>
      <c r="C70" t="s">
        <v>80</v>
      </c>
      <c r="D70" t="s">
        <v>142</v>
      </c>
      <c r="E70" t="s">
        <v>55</v>
      </c>
      <c r="F70">
        <v>16</v>
      </c>
      <c r="G70">
        <v>0</v>
      </c>
      <c r="H70">
        <v>0</v>
      </c>
      <c r="I70">
        <v>16</v>
      </c>
      <c r="J70">
        <v>0</v>
      </c>
      <c r="K70">
        <v>15</v>
      </c>
      <c r="L70">
        <v>83</v>
      </c>
      <c r="M70">
        <v>0</v>
      </c>
      <c r="N70">
        <v>0</v>
      </c>
      <c r="O70">
        <v>0</v>
      </c>
      <c r="P70">
        <v>15</v>
      </c>
      <c r="Q70">
        <v>15</v>
      </c>
      <c r="R70">
        <v>10</v>
      </c>
      <c r="S70">
        <v>0</v>
      </c>
      <c r="T70">
        <v>2</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row>
    <row r="71" spans="1:51" x14ac:dyDescent="0.3">
      <c r="A71" t="s">
        <v>51</v>
      </c>
      <c r="B71" t="s">
        <v>52</v>
      </c>
      <c r="C71" t="s">
        <v>101</v>
      </c>
      <c r="D71" t="s">
        <v>143</v>
      </c>
      <c r="E71" t="s">
        <v>55</v>
      </c>
      <c r="F71">
        <v>11</v>
      </c>
      <c r="G71">
        <v>0</v>
      </c>
      <c r="H71">
        <v>0</v>
      </c>
      <c r="I71">
        <v>11</v>
      </c>
      <c r="J71">
        <v>0</v>
      </c>
      <c r="K71">
        <v>10</v>
      </c>
      <c r="L71">
        <v>43</v>
      </c>
      <c r="M71">
        <v>1</v>
      </c>
      <c r="N71">
        <v>0</v>
      </c>
      <c r="O71">
        <v>0</v>
      </c>
      <c r="P71">
        <v>6</v>
      </c>
      <c r="Q71">
        <v>6</v>
      </c>
      <c r="R71">
        <v>2</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row>
    <row r="72" spans="1:51" x14ac:dyDescent="0.3">
      <c r="A72" t="s">
        <v>51</v>
      </c>
      <c r="B72" t="s">
        <v>52</v>
      </c>
      <c r="C72" t="s">
        <v>76</v>
      </c>
      <c r="D72" t="s">
        <v>144</v>
      </c>
      <c r="E72" t="s">
        <v>55</v>
      </c>
      <c r="F72">
        <v>53</v>
      </c>
      <c r="G72">
        <v>0</v>
      </c>
      <c r="H72">
        <v>0</v>
      </c>
      <c r="I72">
        <v>53</v>
      </c>
      <c r="J72">
        <v>0</v>
      </c>
      <c r="K72">
        <v>53</v>
      </c>
      <c r="L72">
        <v>137</v>
      </c>
      <c r="M72">
        <v>1</v>
      </c>
      <c r="N72">
        <v>1</v>
      </c>
      <c r="O72">
        <v>0</v>
      </c>
      <c r="P72">
        <v>3</v>
      </c>
      <c r="Q72">
        <v>1</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1</v>
      </c>
      <c r="AW72">
        <v>1</v>
      </c>
      <c r="AX72">
        <v>0</v>
      </c>
      <c r="AY72">
        <v>0</v>
      </c>
    </row>
    <row r="73" spans="1:51" x14ac:dyDescent="0.3">
      <c r="A73" t="s">
        <v>51</v>
      </c>
      <c r="B73" t="s">
        <v>52</v>
      </c>
      <c r="C73" t="s">
        <v>78</v>
      </c>
      <c r="D73" t="s">
        <v>145</v>
      </c>
      <c r="E73" t="s">
        <v>55</v>
      </c>
      <c r="F73">
        <v>39</v>
      </c>
      <c r="G73">
        <v>0</v>
      </c>
      <c r="H73">
        <v>0</v>
      </c>
      <c r="I73">
        <v>38</v>
      </c>
      <c r="J73">
        <v>0</v>
      </c>
      <c r="K73">
        <v>39</v>
      </c>
      <c r="L73">
        <v>188</v>
      </c>
      <c r="M73">
        <v>1</v>
      </c>
      <c r="N73">
        <v>1</v>
      </c>
      <c r="O73">
        <v>0</v>
      </c>
      <c r="P73">
        <v>29</v>
      </c>
      <c r="Q73">
        <v>29</v>
      </c>
      <c r="R73">
        <v>22</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8</v>
      </c>
      <c r="AW73">
        <v>0</v>
      </c>
      <c r="AX73">
        <v>0</v>
      </c>
      <c r="AY73">
        <v>0</v>
      </c>
    </row>
    <row r="74" spans="1:51" x14ac:dyDescent="0.3">
      <c r="A74" t="s">
        <v>51</v>
      </c>
      <c r="B74" t="s">
        <v>72</v>
      </c>
      <c r="C74" t="s">
        <v>76</v>
      </c>
      <c r="D74" t="s">
        <v>146</v>
      </c>
      <c r="E74" t="s">
        <v>55</v>
      </c>
      <c r="F74">
        <v>0</v>
      </c>
      <c r="G74">
        <v>0</v>
      </c>
      <c r="H74">
        <v>0</v>
      </c>
      <c r="I74">
        <v>0</v>
      </c>
      <c r="J74">
        <v>0</v>
      </c>
      <c r="K74">
        <v>0</v>
      </c>
      <c r="L74">
        <v>301</v>
      </c>
      <c r="M74">
        <v>43</v>
      </c>
      <c r="N74">
        <v>42</v>
      </c>
      <c r="O74">
        <v>1</v>
      </c>
      <c r="P74">
        <v>30</v>
      </c>
      <c r="Q74">
        <v>46</v>
      </c>
      <c r="R74">
        <v>26</v>
      </c>
      <c r="S74">
        <v>192</v>
      </c>
      <c r="T74">
        <v>0</v>
      </c>
      <c r="U74">
        <v>0</v>
      </c>
      <c r="V74">
        <v>0</v>
      </c>
      <c r="W74">
        <v>0</v>
      </c>
      <c r="X74">
        <v>146</v>
      </c>
      <c r="Y74">
        <v>66</v>
      </c>
      <c r="Z74">
        <v>0</v>
      </c>
      <c r="AA74">
        <v>0</v>
      </c>
      <c r="AB74">
        <v>0</v>
      </c>
      <c r="AC74">
        <v>0</v>
      </c>
      <c r="AD74">
        <v>0</v>
      </c>
      <c r="AE74">
        <v>0</v>
      </c>
      <c r="AF74">
        <v>92</v>
      </c>
      <c r="AG74">
        <v>0</v>
      </c>
      <c r="AH74">
        <v>0</v>
      </c>
      <c r="AI74">
        <v>0</v>
      </c>
      <c r="AJ74">
        <v>0</v>
      </c>
      <c r="AK74">
        <v>0</v>
      </c>
      <c r="AL74">
        <v>0</v>
      </c>
      <c r="AM74">
        <v>0</v>
      </c>
      <c r="AN74">
        <v>26</v>
      </c>
      <c r="AO74">
        <v>0</v>
      </c>
      <c r="AP74">
        <v>0</v>
      </c>
      <c r="AQ74">
        <v>0</v>
      </c>
      <c r="AR74">
        <v>0</v>
      </c>
      <c r="AS74">
        <v>0</v>
      </c>
      <c r="AT74">
        <v>0</v>
      </c>
      <c r="AU74">
        <v>0</v>
      </c>
      <c r="AV74">
        <v>0</v>
      </c>
      <c r="AW74">
        <v>0</v>
      </c>
      <c r="AX74">
        <v>0</v>
      </c>
      <c r="AY74">
        <v>0</v>
      </c>
    </row>
    <row r="75" spans="1:51" x14ac:dyDescent="0.3">
      <c r="A75" t="s">
        <v>51</v>
      </c>
      <c r="B75" t="s">
        <v>72</v>
      </c>
      <c r="C75" t="s">
        <v>78</v>
      </c>
      <c r="D75" t="s">
        <v>147</v>
      </c>
      <c r="E75" t="s">
        <v>55</v>
      </c>
      <c r="F75">
        <v>0</v>
      </c>
      <c r="G75">
        <v>0</v>
      </c>
      <c r="H75">
        <v>0</v>
      </c>
      <c r="I75">
        <v>0</v>
      </c>
      <c r="J75">
        <v>0</v>
      </c>
      <c r="K75">
        <v>0</v>
      </c>
      <c r="L75">
        <v>464</v>
      </c>
      <c r="M75">
        <v>62</v>
      </c>
      <c r="N75">
        <v>52</v>
      </c>
      <c r="O75">
        <v>7</v>
      </c>
      <c r="P75">
        <v>90</v>
      </c>
      <c r="Q75">
        <v>90</v>
      </c>
      <c r="R75">
        <v>79</v>
      </c>
      <c r="S75">
        <v>116</v>
      </c>
      <c r="T75">
        <v>0</v>
      </c>
      <c r="U75">
        <v>0</v>
      </c>
      <c r="V75">
        <v>0</v>
      </c>
      <c r="W75">
        <v>0</v>
      </c>
      <c r="X75">
        <v>158</v>
      </c>
      <c r="Y75">
        <v>48</v>
      </c>
      <c r="Z75">
        <v>1</v>
      </c>
      <c r="AA75">
        <v>1</v>
      </c>
      <c r="AB75">
        <v>6</v>
      </c>
      <c r="AC75">
        <v>1</v>
      </c>
      <c r="AD75">
        <v>1</v>
      </c>
      <c r="AE75">
        <v>0</v>
      </c>
      <c r="AF75">
        <v>50</v>
      </c>
      <c r="AG75">
        <v>0</v>
      </c>
      <c r="AH75">
        <v>0</v>
      </c>
      <c r="AI75">
        <v>0</v>
      </c>
      <c r="AJ75">
        <v>0</v>
      </c>
      <c r="AK75">
        <v>0</v>
      </c>
      <c r="AL75">
        <v>0</v>
      </c>
      <c r="AM75">
        <v>0</v>
      </c>
      <c r="AN75">
        <v>1</v>
      </c>
      <c r="AO75">
        <v>1</v>
      </c>
      <c r="AP75">
        <v>1</v>
      </c>
      <c r="AQ75">
        <v>0</v>
      </c>
      <c r="AR75">
        <v>0</v>
      </c>
      <c r="AS75">
        <v>0</v>
      </c>
      <c r="AT75">
        <v>0</v>
      </c>
      <c r="AU75">
        <v>0</v>
      </c>
      <c r="AV75">
        <v>0</v>
      </c>
      <c r="AW75">
        <v>0</v>
      </c>
      <c r="AX75">
        <v>0</v>
      </c>
      <c r="AY75">
        <v>0</v>
      </c>
    </row>
    <row r="76" spans="1:51" x14ac:dyDescent="0.3">
      <c r="A76" t="s">
        <v>51</v>
      </c>
      <c r="B76" t="s">
        <v>72</v>
      </c>
      <c r="C76" t="s">
        <v>119</v>
      </c>
      <c r="D76" t="s">
        <v>148</v>
      </c>
      <c r="E76" t="s">
        <v>55</v>
      </c>
      <c r="F76">
        <v>0</v>
      </c>
      <c r="G76">
        <v>0</v>
      </c>
      <c r="H76">
        <v>0</v>
      </c>
      <c r="I76">
        <v>0</v>
      </c>
      <c r="J76">
        <v>0</v>
      </c>
      <c r="K76">
        <v>0</v>
      </c>
      <c r="L76">
        <v>197</v>
      </c>
      <c r="M76">
        <v>53</v>
      </c>
      <c r="N76">
        <v>53</v>
      </c>
      <c r="O76">
        <v>5</v>
      </c>
      <c r="P76">
        <v>11</v>
      </c>
      <c r="Q76">
        <v>2</v>
      </c>
      <c r="R76">
        <v>89</v>
      </c>
      <c r="S76">
        <v>25</v>
      </c>
      <c r="T76">
        <v>0</v>
      </c>
      <c r="U76">
        <v>0</v>
      </c>
      <c r="V76">
        <v>0</v>
      </c>
      <c r="W76">
        <v>0</v>
      </c>
      <c r="X76">
        <v>0</v>
      </c>
      <c r="Y76">
        <v>109</v>
      </c>
      <c r="Z76">
        <v>0</v>
      </c>
      <c r="AA76">
        <v>0</v>
      </c>
      <c r="AB76">
        <v>0</v>
      </c>
      <c r="AC76">
        <v>0</v>
      </c>
      <c r="AD76">
        <v>0</v>
      </c>
      <c r="AE76">
        <v>0</v>
      </c>
      <c r="AF76">
        <v>52</v>
      </c>
      <c r="AG76">
        <v>0</v>
      </c>
      <c r="AH76">
        <v>0</v>
      </c>
      <c r="AI76">
        <v>0</v>
      </c>
      <c r="AJ76">
        <v>0</v>
      </c>
      <c r="AK76">
        <v>0</v>
      </c>
      <c r="AL76">
        <v>0</v>
      </c>
      <c r="AM76">
        <v>0</v>
      </c>
      <c r="AN76">
        <v>0</v>
      </c>
      <c r="AO76">
        <v>0</v>
      </c>
      <c r="AP76">
        <v>0</v>
      </c>
      <c r="AQ76">
        <v>0</v>
      </c>
      <c r="AR76">
        <v>0</v>
      </c>
      <c r="AS76">
        <v>0</v>
      </c>
      <c r="AT76">
        <v>0</v>
      </c>
      <c r="AU76">
        <v>0</v>
      </c>
      <c r="AV76">
        <v>0</v>
      </c>
      <c r="AW76">
        <v>0</v>
      </c>
      <c r="AX76">
        <v>0</v>
      </c>
      <c r="AY76">
        <v>0</v>
      </c>
    </row>
    <row r="77" spans="1:51" x14ac:dyDescent="0.3">
      <c r="A77" t="s">
        <v>51</v>
      </c>
      <c r="B77" t="s">
        <v>72</v>
      </c>
      <c r="C77" t="s">
        <v>80</v>
      </c>
      <c r="D77" t="s">
        <v>149</v>
      </c>
      <c r="E77" t="s">
        <v>55</v>
      </c>
      <c r="F77">
        <v>0</v>
      </c>
      <c r="G77">
        <v>0</v>
      </c>
      <c r="H77">
        <v>0</v>
      </c>
      <c r="I77">
        <v>0</v>
      </c>
      <c r="J77">
        <v>0</v>
      </c>
      <c r="K77">
        <v>0</v>
      </c>
      <c r="L77">
        <v>43</v>
      </c>
      <c r="M77">
        <v>23</v>
      </c>
      <c r="N77">
        <v>15</v>
      </c>
      <c r="O77">
        <v>1</v>
      </c>
      <c r="P77">
        <v>0</v>
      </c>
      <c r="Q77">
        <v>0</v>
      </c>
      <c r="R77">
        <v>21</v>
      </c>
      <c r="S77">
        <v>66</v>
      </c>
      <c r="T77">
        <v>0</v>
      </c>
      <c r="U77">
        <v>0</v>
      </c>
      <c r="V77">
        <v>0</v>
      </c>
      <c r="W77">
        <v>0</v>
      </c>
      <c r="X77">
        <v>80</v>
      </c>
      <c r="Y77">
        <v>36</v>
      </c>
      <c r="Z77">
        <v>0</v>
      </c>
      <c r="AA77">
        <v>0</v>
      </c>
      <c r="AB77">
        <v>7</v>
      </c>
      <c r="AC77">
        <v>0</v>
      </c>
      <c r="AD77">
        <v>0</v>
      </c>
      <c r="AE77">
        <v>0</v>
      </c>
      <c r="AF77">
        <v>43</v>
      </c>
      <c r="AG77">
        <v>1</v>
      </c>
      <c r="AH77">
        <v>1</v>
      </c>
      <c r="AI77">
        <v>0</v>
      </c>
      <c r="AJ77">
        <v>0</v>
      </c>
      <c r="AK77">
        <v>0</v>
      </c>
      <c r="AL77">
        <v>0</v>
      </c>
      <c r="AM77">
        <v>0</v>
      </c>
      <c r="AN77">
        <v>0</v>
      </c>
      <c r="AO77">
        <v>0</v>
      </c>
      <c r="AP77">
        <v>0</v>
      </c>
      <c r="AQ77">
        <v>0</v>
      </c>
      <c r="AR77">
        <v>0</v>
      </c>
      <c r="AS77">
        <v>0</v>
      </c>
      <c r="AT77">
        <v>0</v>
      </c>
      <c r="AU77">
        <v>0</v>
      </c>
      <c r="AV77">
        <v>0</v>
      </c>
      <c r="AW77">
        <v>0</v>
      </c>
      <c r="AX77">
        <v>0</v>
      </c>
      <c r="AY77">
        <v>0</v>
      </c>
    </row>
    <row r="78" spans="1:51" x14ac:dyDescent="0.3">
      <c r="A78" t="s">
        <v>51</v>
      </c>
      <c r="B78" t="s">
        <v>72</v>
      </c>
      <c r="C78" t="s">
        <v>101</v>
      </c>
      <c r="D78" t="s">
        <v>150</v>
      </c>
      <c r="E78" t="s">
        <v>55</v>
      </c>
      <c r="F78">
        <v>0</v>
      </c>
      <c r="G78">
        <v>0</v>
      </c>
      <c r="H78">
        <v>0</v>
      </c>
      <c r="I78">
        <v>0</v>
      </c>
      <c r="J78">
        <v>0</v>
      </c>
      <c r="K78">
        <v>0</v>
      </c>
      <c r="L78">
        <v>46</v>
      </c>
      <c r="M78">
        <v>24</v>
      </c>
      <c r="N78">
        <v>19</v>
      </c>
      <c r="O78">
        <v>2</v>
      </c>
      <c r="P78">
        <v>0</v>
      </c>
      <c r="Q78">
        <v>0</v>
      </c>
      <c r="R78">
        <v>0</v>
      </c>
      <c r="S78">
        <v>28</v>
      </c>
      <c r="T78">
        <v>0</v>
      </c>
      <c r="U78">
        <v>0</v>
      </c>
      <c r="V78">
        <v>0</v>
      </c>
      <c r="W78">
        <v>0</v>
      </c>
      <c r="X78">
        <v>0</v>
      </c>
      <c r="Y78">
        <v>0</v>
      </c>
      <c r="Z78">
        <v>0</v>
      </c>
      <c r="AA78">
        <v>0</v>
      </c>
      <c r="AB78">
        <v>1</v>
      </c>
      <c r="AC78">
        <v>0</v>
      </c>
      <c r="AD78">
        <v>0</v>
      </c>
      <c r="AE78">
        <v>0</v>
      </c>
      <c r="AF78">
        <v>13</v>
      </c>
      <c r="AG78">
        <v>0</v>
      </c>
      <c r="AH78">
        <v>0</v>
      </c>
      <c r="AI78">
        <v>0</v>
      </c>
      <c r="AJ78">
        <v>0</v>
      </c>
      <c r="AK78">
        <v>0</v>
      </c>
      <c r="AL78">
        <v>0</v>
      </c>
      <c r="AM78">
        <v>0</v>
      </c>
      <c r="AN78">
        <v>0</v>
      </c>
      <c r="AO78">
        <v>0</v>
      </c>
      <c r="AP78">
        <v>0</v>
      </c>
      <c r="AQ78">
        <v>0</v>
      </c>
      <c r="AR78">
        <v>0</v>
      </c>
      <c r="AS78">
        <v>0</v>
      </c>
      <c r="AT78">
        <v>0</v>
      </c>
      <c r="AU78">
        <v>0</v>
      </c>
      <c r="AV78">
        <v>0</v>
      </c>
      <c r="AW78">
        <v>0</v>
      </c>
      <c r="AX78">
        <v>0</v>
      </c>
      <c r="AY78">
        <v>0</v>
      </c>
    </row>
    <row r="79" spans="1:51" x14ac:dyDescent="0.3">
      <c r="A79" t="s">
        <v>51</v>
      </c>
      <c r="B79" t="s">
        <v>72</v>
      </c>
      <c r="C79" t="s">
        <v>86</v>
      </c>
      <c r="D79" t="s">
        <v>151</v>
      </c>
      <c r="E79" t="s">
        <v>55</v>
      </c>
      <c r="F79">
        <v>0</v>
      </c>
      <c r="G79">
        <v>0</v>
      </c>
      <c r="H79">
        <v>0</v>
      </c>
      <c r="I79">
        <v>0</v>
      </c>
      <c r="J79">
        <v>0</v>
      </c>
      <c r="K79">
        <v>0</v>
      </c>
      <c r="L79">
        <v>123</v>
      </c>
      <c r="M79">
        <v>12</v>
      </c>
      <c r="N79">
        <v>12</v>
      </c>
      <c r="O79">
        <v>0</v>
      </c>
      <c r="P79">
        <v>3</v>
      </c>
      <c r="Q79">
        <v>2</v>
      </c>
      <c r="R79">
        <v>20</v>
      </c>
      <c r="S79">
        <v>2</v>
      </c>
      <c r="T79">
        <v>0</v>
      </c>
      <c r="U79">
        <v>0</v>
      </c>
      <c r="V79">
        <v>0</v>
      </c>
      <c r="W79">
        <v>0</v>
      </c>
      <c r="X79">
        <v>21</v>
      </c>
      <c r="Y79">
        <v>0</v>
      </c>
      <c r="Z79">
        <v>0</v>
      </c>
      <c r="AA79">
        <v>0</v>
      </c>
      <c r="AB79">
        <v>0</v>
      </c>
      <c r="AC79">
        <v>0</v>
      </c>
      <c r="AD79">
        <v>0</v>
      </c>
      <c r="AE79">
        <v>0</v>
      </c>
      <c r="AF79">
        <v>40</v>
      </c>
      <c r="AG79">
        <v>0</v>
      </c>
      <c r="AH79">
        <v>0</v>
      </c>
      <c r="AI79">
        <v>0</v>
      </c>
      <c r="AJ79">
        <v>0</v>
      </c>
      <c r="AK79">
        <v>0</v>
      </c>
      <c r="AL79">
        <v>0</v>
      </c>
      <c r="AM79">
        <v>0</v>
      </c>
      <c r="AN79">
        <v>0</v>
      </c>
      <c r="AO79">
        <v>0</v>
      </c>
      <c r="AP79">
        <v>0</v>
      </c>
      <c r="AQ79">
        <v>0</v>
      </c>
      <c r="AR79">
        <v>0</v>
      </c>
      <c r="AS79">
        <v>0</v>
      </c>
      <c r="AT79">
        <v>0</v>
      </c>
      <c r="AU79">
        <v>0</v>
      </c>
      <c r="AV79">
        <v>0</v>
      </c>
      <c r="AW79">
        <v>0</v>
      </c>
      <c r="AX79">
        <v>0</v>
      </c>
      <c r="AY79">
        <v>0</v>
      </c>
    </row>
    <row r="80" spans="1:51" x14ac:dyDescent="0.3">
      <c r="A80" t="s">
        <v>51</v>
      </c>
      <c r="B80" t="s">
        <v>72</v>
      </c>
      <c r="C80" t="s">
        <v>89</v>
      </c>
      <c r="D80" t="s">
        <v>152</v>
      </c>
      <c r="E80" t="s">
        <v>55</v>
      </c>
      <c r="F80">
        <v>0</v>
      </c>
      <c r="G80">
        <v>0</v>
      </c>
      <c r="H80">
        <v>0</v>
      </c>
      <c r="I80">
        <v>0</v>
      </c>
      <c r="J80">
        <v>0</v>
      </c>
      <c r="K80">
        <v>0</v>
      </c>
      <c r="L80">
        <v>225</v>
      </c>
      <c r="M80">
        <v>12</v>
      </c>
      <c r="N80">
        <v>11</v>
      </c>
      <c r="O80">
        <v>0</v>
      </c>
      <c r="P80">
        <v>14</v>
      </c>
      <c r="Q80">
        <v>14</v>
      </c>
      <c r="R80">
        <v>11</v>
      </c>
      <c r="S80">
        <v>3</v>
      </c>
      <c r="T80">
        <v>0</v>
      </c>
      <c r="U80">
        <v>0</v>
      </c>
      <c r="V80">
        <v>0</v>
      </c>
      <c r="W80">
        <v>0</v>
      </c>
      <c r="X80">
        <v>0</v>
      </c>
      <c r="Y80">
        <v>14</v>
      </c>
      <c r="Z80">
        <v>0</v>
      </c>
      <c r="AA80">
        <v>0</v>
      </c>
      <c r="AB80">
        <v>0</v>
      </c>
      <c r="AC80">
        <v>0</v>
      </c>
      <c r="AD80">
        <v>0</v>
      </c>
      <c r="AE80">
        <v>0</v>
      </c>
      <c r="AF80">
        <v>26</v>
      </c>
      <c r="AG80">
        <v>0</v>
      </c>
      <c r="AH80">
        <v>0</v>
      </c>
      <c r="AI80">
        <v>0</v>
      </c>
      <c r="AJ80">
        <v>0</v>
      </c>
      <c r="AK80">
        <v>0</v>
      </c>
      <c r="AL80">
        <v>0</v>
      </c>
      <c r="AM80">
        <v>0</v>
      </c>
      <c r="AN80">
        <v>0</v>
      </c>
      <c r="AO80">
        <v>0</v>
      </c>
      <c r="AP80">
        <v>0</v>
      </c>
      <c r="AQ80">
        <v>0</v>
      </c>
      <c r="AR80">
        <v>0</v>
      </c>
      <c r="AS80">
        <v>0</v>
      </c>
      <c r="AT80">
        <v>0</v>
      </c>
      <c r="AU80">
        <v>0</v>
      </c>
      <c r="AV80">
        <v>0</v>
      </c>
      <c r="AW80">
        <v>0</v>
      </c>
      <c r="AX80">
        <v>0</v>
      </c>
      <c r="AY80">
        <v>0</v>
      </c>
    </row>
    <row r="81" spans="1:51" x14ac:dyDescent="0.3">
      <c r="A81" t="s">
        <v>51</v>
      </c>
      <c r="B81" t="s">
        <v>72</v>
      </c>
      <c r="C81" t="s">
        <v>92</v>
      </c>
      <c r="D81" t="s">
        <v>153</v>
      </c>
      <c r="E81" t="s">
        <v>55</v>
      </c>
      <c r="F81">
        <v>0</v>
      </c>
      <c r="G81">
        <v>0</v>
      </c>
      <c r="H81">
        <v>0</v>
      </c>
      <c r="I81">
        <v>0</v>
      </c>
      <c r="J81">
        <v>0</v>
      </c>
      <c r="K81">
        <v>0</v>
      </c>
      <c r="L81">
        <v>62</v>
      </c>
      <c r="M81">
        <v>26</v>
      </c>
      <c r="N81">
        <v>18</v>
      </c>
      <c r="O81">
        <v>7</v>
      </c>
      <c r="P81">
        <v>0</v>
      </c>
      <c r="Q81">
        <v>0</v>
      </c>
      <c r="R81">
        <v>56</v>
      </c>
      <c r="S81">
        <v>56</v>
      </c>
      <c r="T81">
        <v>0</v>
      </c>
      <c r="U81">
        <v>0</v>
      </c>
      <c r="V81">
        <v>0</v>
      </c>
      <c r="W81">
        <v>0</v>
      </c>
      <c r="X81">
        <v>0</v>
      </c>
      <c r="Y81">
        <v>0</v>
      </c>
      <c r="Z81">
        <v>0</v>
      </c>
      <c r="AA81">
        <v>0</v>
      </c>
      <c r="AB81">
        <v>28</v>
      </c>
      <c r="AC81">
        <v>1</v>
      </c>
      <c r="AD81">
        <v>0</v>
      </c>
      <c r="AE81">
        <v>0</v>
      </c>
      <c r="AF81">
        <v>0</v>
      </c>
      <c r="AG81">
        <v>0</v>
      </c>
      <c r="AH81">
        <v>0</v>
      </c>
      <c r="AI81">
        <v>0</v>
      </c>
      <c r="AJ81">
        <v>0</v>
      </c>
      <c r="AK81">
        <v>0</v>
      </c>
      <c r="AL81">
        <v>0</v>
      </c>
      <c r="AM81">
        <v>0</v>
      </c>
      <c r="AN81">
        <v>1</v>
      </c>
      <c r="AO81">
        <v>0</v>
      </c>
      <c r="AP81">
        <v>0</v>
      </c>
      <c r="AQ81">
        <v>0</v>
      </c>
      <c r="AR81">
        <v>0</v>
      </c>
      <c r="AS81">
        <v>0</v>
      </c>
      <c r="AT81">
        <v>0</v>
      </c>
      <c r="AU81">
        <v>0</v>
      </c>
      <c r="AV81">
        <v>0</v>
      </c>
      <c r="AW81">
        <v>0</v>
      </c>
      <c r="AX81">
        <v>0</v>
      </c>
      <c r="AY81">
        <v>0</v>
      </c>
    </row>
    <row r="82" spans="1:51" x14ac:dyDescent="0.3">
      <c r="A82" t="s">
        <v>51</v>
      </c>
      <c r="B82" t="s">
        <v>72</v>
      </c>
      <c r="C82" t="s">
        <v>95</v>
      </c>
      <c r="D82" t="s">
        <v>154</v>
      </c>
      <c r="E82" t="s">
        <v>55</v>
      </c>
      <c r="F82">
        <v>0</v>
      </c>
      <c r="G82">
        <v>0</v>
      </c>
      <c r="H82">
        <v>0</v>
      </c>
      <c r="I82">
        <v>0</v>
      </c>
      <c r="J82">
        <v>0</v>
      </c>
      <c r="K82">
        <v>0</v>
      </c>
      <c r="L82">
        <v>74</v>
      </c>
      <c r="M82">
        <v>15</v>
      </c>
      <c r="N82">
        <v>10</v>
      </c>
      <c r="O82">
        <v>1</v>
      </c>
      <c r="P82">
        <v>2</v>
      </c>
      <c r="Q82">
        <v>2</v>
      </c>
      <c r="R82">
        <v>0</v>
      </c>
      <c r="S82">
        <v>1</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row>
    <row r="83" spans="1:51" x14ac:dyDescent="0.3">
      <c r="A83" t="s">
        <v>51</v>
      </c>
      <c r="B83" t="s">
        <v>72</v>
      </c>
      <c r="C83" t="s">
        <v>98</v>
      </c>
      <c r="D83" t="s">
        <v>155</v>
      </c>
      <c r="E83" t="s">
        <v>55</v>
      </c>
      <c r="F83">
        <v>0</v>
      </c>
      <c r="G83">
        <v>0</v>
      </c>
      <c r="H83">
        <v>0</v>
      </c>
      <c r="I83">
        <v>0</v>
      </c>
      <c r="J83">
        <v>0</v>
      </c>
      <c r="K83">
        <v>0</v>
      </c>
      <c r="L83">
        <v>1290</v>
      </c>
      <c r="M83">
        <v>42</v>
      </c>
      <c r="N83">
        <v>25</v>
      </c>
      <c r="O83">
        <v>5</v>
      </c>
      <c r="P83">
        <v>0</v>
      </c>
      <c r="Q83">
        <v>0</v>
      </c>
      <c r="R83">
        <v>42</v>
      </c>
      <c r="S83">
        <v>229</v>
      </c>
      <c r="T83">
        <v>0</v>
      </c>
      <c r="U83">
        <v>0</v>
      </c>
      <c r="V83">
        <v>0</v>
      </c>
      <c r="W83">
        <v>0</v>
      </c>
      <c r="X83">
        <v>61</v>
      </c>
      <c r="Y83">
        <v>26</v>
      </c>
      <c r="Z83">
        <v>0</v>
      </c>
      <c r="AA83">
        <v>0</v>
      </c>
      <c r="AB83">
        <v>0</v>
      </c>
      <c r="AC83">
        <v>0</v>
      </c>
      <c r="AD83">
        <v>0</v>
      </c>
      <c r="AE83">
        <v>0</v>
      </c>
      <c r="AF83">
        <v>78</v>
      </c>
      <c r="AG83">
        <v>0</v>
      </c>
      <c r="AH83">
        <v>0</v>
      </c>
      <c r="AI83">
        <v>0</v>
      </c>
      <c r="AJ83">
        <v>0</v>
      </c>
      <c r="AK83">
        <v>0</v>
      </c>
      <c r="AL83">
        <v>0</v>
      </c>
      <c r="AM83">
        <v>0</v>
      </c>
      <c r="AN83">
        <v>1</v>
      </c>
      <c r="AO83">
        <v>1</v>
      </c>
      <c r="AP83">
        <v>0</v>
      </c>
      <c r="AQ83">
        <v>0</v>
      </c>
      <c r="AR83">
        <v>0</v>
      </c>
      <c r="AS83">
        <v>0</v>
      </c>
      <c r="AT83">
        <v>0</v>
      </c>
      <c r="AU83">
        <v>0</v>
      </c>
      <c r="AV83">
        <v>0</v>
      </c>
      <c r="AW83">
        <v>0</v>
      </c>
      <c r="AX83">
        <v>0</v>
      </c>
      <c r="AY83">
        <v>0</v>
      </c>
    </row>
    <row r="84" spans="1:51" x14ac:dyDescent="0.3">
      <c r="A84" t="s">
        <v>51</v>
      </c>
      <c r="B84" t="s">
        <v>72</v>
      </c>
      <c r="C84" t="s">
        <v>156</v>
      </c>
      <c r="D84" t="s">
        <v>157</v>
      </c>
      <c r="E84" t="s">
        <v>55</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row>
    <row r="85" spans="1:51" x14ac:dyDescent="0.3">
      <c r="A85" t="s">
        <v>51</v>
      </c>
      <c r="B85" t="s">
        <v>72</v>
      </c>
      <c r="C85" t="s">
        <v>112</v>
      </c>
      <c r="D85" t="s">
        <v>158</v>
      </c>
      <c r="E85" t="s">
        <v>55</v>
      </c>
      <c r="F85">
        <v>0</v>
      </c>
      <c r="G85">
        <v>0</v>
      </c>
      <c r="H85">
        <v>0</v>
      </c>
      <c r="I85">
        <v>0</v>
      </c>
      <c r="J85">
        <v>0</v>
      </c>
      <c r="K85">
        <v>0</v>
      </c>
      <c r="L85">
        <v>86</v>
      </c>
      <c r="M85">
        <v>33</v>
      </c>
      <c r="N85">
        <v>40</v>
      </c>
      <c r="O85">
        <v>7</v>
      </c>
      <c r="P85">
        <v>0</v>
      </c>
      <c r="Q85">
        <v>0</v>
      </c>
      <c r="R85">
        <v>18</v>
      </c>
      <c r="S85">
        <v>87</v>
      </c>
      <c r="T85">
        <v>0</v>
      </c>
      <c r="U85">
        <v>0</v>
      </c>
      <c r="V85">
        <v>0</v>
      </c>
      <c r="W85">
        <v>0</v>
      </c>
      <c r="X85">
        <v>23</v>
      </c>
      <c r="Y85">
        <v>1</v>
      </c>
      <c r="Z85">
        <v>0</v>
      </c>
      <c r="AA85">
        <v>0</v>
      </c>
      <c r="AB85">
        <v>4</v>
      </c>
      <c r="AC85">
        <v>0</v>
      </c>
      <c r="AD85">
        <v>0</v>
      </c>
      <c r="AE85">
        <v>0</v>
      </c>
      <c r="AF85">
        <v>48</v>
      </c>
      <c r="AG85">
        <v>0</v>
      </c>
      <c r="AH85">
        <v>0</v>
      </c>
      <c r="AI85">
        <v>0</v>
      </c>
      <c r="AJ85">
        <v>0</v>
      </c>
      <c r="AK85">
        <v>0</v>
      </c>
      <c r="AL85">
        <v>0</v>
      </c>
      <c r="AM85">
        <v>0</v>
      </c>
      <c r="AN85">
        <v>0</v>
      </c>
      <c r="AO85">
        <v>0</v>
      </c>
      <c r="AP85">
        <v>0</v>
      </c>
      <c r="AQ85">
        <v>0</v>
      </c>
      <c r="AR85">
        <v>0</v>
      </c>
      <c r="AS85">
        <v>0</v>
      </c>
      <c r="AT85">
        <v>0</v>
      </c>
      <c r="AU85">
        <v>0</v>
      </c>
      <c r="AV85">
        <v>0</v>
      </c>
      <c r="AW85">
        <v>0</v>
      </c>
      <c r="AX85">
        <v>0</v>
      </c>
      <c r="AY85">
        <v>0</v>
      </c>
    </row>
    <row r="86" spans="1:51" x14ac:dyDescent="0.3">
      <c r="A86" t="s">
        <v>51</v>
      </c>
      <c r="B86" t="s">
        <v>72</v>
      </c>
      <c r="C86" t="s">
        <v>108</v>
      </c>
      <c r="D86" t="s">
        <v>159</v>
      </c>
      <c r="E86" t="s">
        <v>55</v>
      </c>
      <c r="F86">
        <v>0</v>
      </c>
      <c r="G86">
        <v>0</v>
      </c>
      <c r="H86">
        <v>0</v>
      </c>
      <c r="I86">
        <v>0</v>
      </c>
      <c r="J86">
        <v>0</v>
      </c>
      <c r="K86">
        <v>0</v>
      </c>
      <c r="L86">
        <v>188</v>
      </c>
      <c r="M86">
        <v>15</v>
      </c>
      <c r="N86">
        <v>11</v>
      </c>
      <c r="O86">
        <v>2</v>
      </c>
      <c r="P86">
        <v>81</v>
      </c>
      <c r="Q86">
        <v>81</v>
      </c>
      <c r="R86">
        <v>39</v>
      </c>
      <c r="S86">
        <v>81</v>
      </c>
      <c r="T86">
        <v>0</v>
      </c>
      <c r="U86">
        <v>0</v>
      </c>
      <c r="V86">
        <v>0</v>
      </c>
      <c r="W86">
        <v>0</v>
      </c>
      <c r="X86">
        <v>19</v>
      </c>
      <c r="Y86">
        <v>1</v>
      </c>
      <c r="Z86">
        <v>0</v>
      </c>
      <c r="AA86">
        <v>0</v>
      </c>
      <c r="AB86">
        <v>6</v>
      </c>
      <c r="AC86">
        <v>1</v>
      </c>
      <c r="AD86">
        <v>0</v>
      </c>
      <c r="AE86">
        <v>0</v>
      </c>
      <c r="AF86">
        <v>0</v>
      </c>
      <c r="AG86">
        <v>0</v>
      </c>
      <c r="AH86">
        <v>0</v>
      </c>
      <c r="AI86">
        <v>0</v>
      </c>
      <c r="AJ86">
        <v>0</v>
      </c>
      <c r="AK86">
        <v>0</v>
      </c>
      <c r="AL86">
        <v>0</v>
      </c>
      <c r="AM86">
        <v>0</v>
      </c>
      <c r="AN86">
        <v>0</v>
      </c>
      <c r="AO86">
        <v>0</v>
      </c>
      <c r="AP86">
        <v>0</v>
      </c>
      <c r="AQ86">
        <v>0</v>
      </c>
      <c r="AR86">
        <v>0</v>
      </c>
      <c r="AS86">
        <v>0</v>
      </c>
      <c r="AT86">
        <v>0</v>
      </c>
      <c r="AU86">
        <v>0</v>
      </c>
      <c r="AV86">
        <v>33</v>
      </c>
      <c r="AW86">
        <v>0</v>
      </c>
      <c r="AX86">
        <v>0</v>
      </c>
      <c r="AY86">
        <v>0</v>
      </c>
    </row>
    <row r="87" spans="1:51" x14ac:dyDescent="0.3">
      <c r="A87" t="s">
        <v>51</v>
      </c>
      <c r="B87" t="s">
        <v>72</v>
      </c>
      <c r="C87" t="s">
        <v>126</v>
      </c>
      <c r="D87" t="s">
        <v>160</v>
      </c>
      <c r="E87" t="s">
        <v>55</v>
      </c>
      <c r="F87">
        <v>0</v>
      </c>
      <c r="G87">
        <v>0</v>
      </c>
      <c r="H87">
        <v>0</v>
      </c>
      <c r="I87">
        <v>0</v>
      </c>
      <c r="J87">
        <v>0</v>
      </c>
      <c r="K87">
        <v>0</v>
      </c>
      <c r="L87">
        <v>132</v>
      </c>
      <c r="M87">
        <v>28</v>
      </c>
      <c r="N87">
        <v>35</v>
      </c>
      <c r="O87">
        <v>6</v>
      </c>
      <c r="P87">
        <v>39</v>
      </c>
      <c r="Q87">
        <v>39</v>
      </c>
      <c r="R87">
        <v>29</v>
      </c>
      <c r="S87">
        <v>39</v>
      </c>
      <c r="T87">
        <v>0</v>
      </c>
      <c r="U87">
        <v>0</v>
      </c>
      <c r="V87">
        <v>0</v>
      </c>
      <c r="W87">
        <v>0</v>
      </c>
      <c r="X87">
        <v>40</v>
      </c>
      <c r="Y87">
        <v>25</v>
      </c>
      <c r="Z87">
        <v>0</v>
      </c>
      <c r="AA87">
        <v>0</v>
      </c>
      <c r="AB87">
        <v>0</v>
      </c>
      <c r="AC87">
        <v>0</v>
      </c>
      <c r="AD87">
        <v>0</v>
      </c>
      <c r="AE87">
        <v>0</v>
      </c>
      <c r="AF87">
        <v>35</v>
      </c>
      <c r="AG87">
        <v>0</v>
      </c>
      <c r="AH87">
        <v>0</v>
      </c>
      <c r="AI87">
        <v>0</v>
      </c>
      <c r="AJ87">
        <v>0</v>
      </c>
      <c r="AK87">
        <v>0</v>
      </c>
      <c r="AL87">
        <v>0</v>
      </c>
      <c r="AM87">
        <v>0</v>
      </c>
      <c r="AN87">
        <v>0</v>
      </c>
      <c r="AO87">
        <v>0</v>
      </c>
      <c r="AP87">
        <v>0</v>
      </c>
      <c r="AQ87">
        <v>0</v>
      </c>
      <c r="AR87">
        <v>0</v>
      </c>
      <c r="AS87">
        <v>0</v>
      </c>
      <c r="AT87">
        <v>0</v>
      </c>
      <c r="AU87">
        <v>0</v>
      </c>
      <c r="AV87">
        <v>18</v>
      </c>
      <c r="AW87">
        <v>0</v>
      </c>
      <c r="AX87">
        <v>0</v>
      </c>
      <c r="AY87">
        <v>0</v>
      </c>
    </row>
    <row r="88" spans="1:51" x14ac:dyDescent="0.3">
      <c r="A88" t="s">
        <v>51</v>
      </c>
      <c r="B88" t="s">
        <v>72</v>
      </c>
      <c r="C88" t="s">
        <v>103</v>
      </c>
      <c r="D88" t="s">
        <v>161</v>
      </c>
      <c r="E88" t="s">
        <v>55</v>
      </c>
      <c r="F88">
        <v>0</v>
      </c>
      <c r="G88">
        <v>0</v>
      </c>
      <c r="H88">
        <v>0</v>
      </c>
      <c r="I88">
        <v>0</v>
      </c>
      <c r="J88">
        <v>0</v>
      </c>
      <c r="K88">
        <v>0</v>
      </c>
      <c r="L88">
        <v>87</v>
      </c>
      <c r="M88">
        <v>39</v>
      </c>
      <c r="N88">
        <v>39</v>
      </c>
      <c r="O88">
        <v>0</v>
      </c>
      <c r="P88">
        <v>0</v>
      </c>
      <c r="Q88">
        <v>0</v>
      </c>
      <c r="R88">
        <v>0</v>
      </c>
      <c r="S88">
        <v>51</v>
      </c>
      <c r="T88">
        <v>0</v>
      </c>
      <c r="U88">
        <v>0</v>
      </c>
      <c r="V88">
        <v>0</v>
      </c>
      <c r="W88">
        <v>0</v>
      </c>
      <c r="X88">
        <v>0</v>
      </c>
      <c r="Y88">
        <v>58</v>
      </c>
      <c r="Z88">
        <v>0</v>
      </c>
      <c r="AA88">
        <v>0</v>
      </c>
      <c r="AB88">
        <v>0</v>
      </c>
      <c r="AC88">
        <v>0</v>
      </c>
      <c r="AD88">
        <v>0</v>
      </c>
      <c r="AE88">
        <v>0</v>
      </c>
      <c r="AF88">
        <v>43</v>
      </c>
      <c r="AG88">
        <v>0</v>
      </c>
      <c r="AH88">
        <v>0</v>
      </c>
      <c r="AI88">
        <v>0</v>
      </c>
      <c r="AJ88">
        <v>0</v>
      </c>
      <c r="AK88">
        <v>0</v>
      </c>
      <c r="AL88">
        <v>0</v>
      </c>
      <c r="AM88">
        <v>0</v>
      </c>
      <c r="AN88">
        <v>0</v>
      </c>
      <c r="AO88">
        <v>0</v>
      </c>
      <c r="AP88">
        <v>0</v>
      </c>
      <c r="AQ88">
        <v>0</v>
      </c>
      <c r="AR88">
        <v>0</v>
      </c>
      <c r="AS88">
        <v>0</v>
      </c>
      <c r="AT88">
        <v>0</v>
      </c>
      <c r="AU88">
        <v>0</v>
      </c>
      <c r="AV88">
        <v>0</v>
      </c>
      <c r="AW88">
        <v>0</v>
      </c>
      <c r="AX88">
        <v>0</v>
      </c>
      <c r="AY88">
        <v>0</v>
      </c>
    </row>
    <row r="89" spans="1:51" x14ac:dyDescent="0.3">
      <c r="A89" t="s">
        <v>51</v>
      </c>
      <c r="B89" t="s">
        <v>72</v>
      </c>
      <c r="C89" t="s">
        <v>121</v>
      </c>
      <c r="D89" t="s">
        <v>162</v>
      </c>
      <c r="E89" t="s">
        <v>55</v>
      </c>
      <c r="F89">
        <v>0</v>
      </c>
      <c r="G89">
        <v>0</v>
      </c>
      <c r="H89">
        <v>0</v>
      </c>
      <c r="I89">
        <v>0</v>
      </c>
      <c r="J89">
        <v>0</v>
      </c>
      <c r="K89">
        <v>0</v>
      </c>
      <c r="L89">
        <v>293</v>
      </c>
      <c r="M89">
        <v>27</v>
      </c>
      <c r="N89">
        <v>25</v>
      </c>
      <c r="O89">
        <v>8</v>
      </c>
      <c r="P89">
        <v>0</v>
      </c>
      <c r="Q89">
        <v>0</v>
      </c>
      <c r="R89">
        <v>15</v>
      </c>
      <c r="S89">
        <v>87</v>
      </c>
      <c r="T89">
        <v>0</v>
      </c>
      <c r="U89">
        <v>0</v>
      </c>
      <c r="V89">
        <v>0</v>
      </c>
      <c r="W89">
        <v>0</v>
      </c>
      <c r="X89">
        <v>168</v>
      </c>
      <c r="Y89">
        <v>71</v>
      </c>
      <c r="Z89">
        <v>0</v>
      </c>
      <c r="AA89">
        <v>0</v>
      </c>
      <c r="AB89">
        <v>4</v>
      </c>
      <c r="AC89">
        <v>0</v>
      </c>
      <c r="AD89">
        <v>0</v>
      </c>
      <c r="AE89">
        <v>0</v>
      </c>
      <c r="AF89">
        <v>52</v>
      </c>
      <c r="AG89">
        <v>0</v>
      </c>
      <c r="AH89">
        <v>0</v>
      </c>
      <c r="AI89">
        <v>0</v>
      </c>
      <c r="AJ89">
        <v>0</v>
      </c>
      <c r="AK89">
        <v>0</v>
      </c>
      <c r="AL89">
        <v>0</v>
      </c>
      <c r="AM89">
        <v>0</v>
      </c>
      <c r="AN89">
        <v>0</v>
      </c>
      <c r="AO89">
        <v>0</v>
      </c>
      <c r="AP89">
        <v>0</v>
      </c>
      <c r="AQ89">
        <v>0</v>
      </c>
      <c r="AR89">
        <v>0</v>
      </c>
      <c r="AS89">
        <v>0</v>
      </c>
      <c r="AT89">
        <v>0</v>
      </c>
      <c r="AU89">
        <v>0</v>
      </c>
      <c r="AV89">
        <v>0</v>
      </c>
      <c r="AW89">
        <v>0</v>
      </c>
      <c r="AX89">
        <v>0</v>
      </c>
      <c r="AY89">
        <v>0</v>
      </c>
    </row>
    <row r="90" spans="1:51" x14ac:dyDescent="0.3">
      <c r="A90" t="s">
        <v>51</v>
      </c>
      <c r="B90" t="s">
        <v>74</v>
      </c>
      <c r="C90" t="s">
        <v>83</v>
      </c>
      <c r="D90" t="s">
        <v>163</v>
      </c>
      <c r="E90" t="s">
        <v>55</v>
      </c>
      <c r="F90">
        <v>0</v>
      </c>
      <c r="G90">
        <v>0</v>
      </c>
      <c r="H90">
        <v>0</v>
      </c>
      <c r="I90">
        <v>0</v>
      </c>
      <c r="J90">
        <v>0</v>
      </c>
      <c r="K90">
        <v>0</v>
      </c>
      <c r="L90">
        <v>197</v>
      </c>
      <c r="M90">
        <v>60</v>
      </c>
      <c r="N90">
        <v>42</v>
      </c>
      <c r="O90">
        <v>7</v>
      </c>
      <c r="P90">
        <v>0</v>
      </c>
      <c r="Q90">
        <v>0</v>
      </c>
      <c r="R90">
        <v>22</v>
      </c>
      <c r="S90">
        <v>127</v>
      </c>
      <c r="T90">
        <v>0</v>
      </c>
      <c r="U90">
        <v>0</v>
      </c>
      <c r="V90">
        <v>0</v>
      </c>
      <c r="W90">
        <v>0</v>
      </c>
      <c r="X90">
        <v>240</v>
      </c>
      <c r="Y90">
        <v>135</v>
      </c>
      <c r="Z90">
        <v>1</v>
      </c>
      <c r="AA90">
        <v>1</v>
      </c>
      <c r="AB90">
        <v>22</v>
      </c>
      <c r="AC90">
        <v>1</v>
      </c>
      <c r="AD90">
        <v>0</v>
      </c>
      <c r="AE90">
        <v>0</v>
      </c>
      <c r="AF90">
        <v>11</v>
      </c>
      <c r="AG90">
        <v>0</v>
      </c>
      <c r="AH90">
        <v>0</v>
      </c>
      <c r="AI90">
        <v>0</v>
      </c>
      <c r="AJ90">
        <v>0</v>
      </c>
      <c r="AK90">
        <v>0</v>
      </c>
      <c r="AL90">
        <v>0</v>
      </c>
      <c r="AM90">
        <v>0</v>
      </c>
      <c r="AN90">
        <v>0</v>
      </c>
      <c r="AO90">
        <v>0</v>
      </c>
      <c r="AP90">
        <v>0</v>
      </c>
      <c r="AQ90">
        <v>0</v>
      </c>
      <c r="AR90">
        <v>0</v>
      </c>
      <c r="AS90">
        <v>0</v>
      </c>
      <c r="AT90">
        <v>0</v>
      </c>
      <c r="AU90">
        <v>0</v>
      </c>
      <c r="AV90">
        <v>0</v>
      </c>
      <c r="AW90">
        <v>0</v>
      </c>
      <c r="AX90">
        <v>0</v>
      </c>
      <c r="AY90">
        <v>0</v>
      </c>
    </row>
    <row r="91" spans="1:51" x14ac:dyDescent="0.3">
      <c r="A91" t="s">
        <v>51</v>
      </c>
      <c r="B91" t="s">
        <v>52</v>
      </c>
      <c r="C91" t="s">
        <v>164</v>
      </c>
      <c r="D91" t="s">
        <v>165</v>
      </c>
      <c r="E91" t="s">
        <v>55</v>
      </c>
      <c r="F91">
        <v>120</v>
      </c>
      <c r="G91">
        <v>0</v>
      </c>
      <c r="H91">
        <v>0</v>
      </c>
      <c r="I91">
        <v>120</v>
      </c>
      <c r="J91">
        <v>0</v>
      </c>
      <c r="K91">
        <v>118</v>
      </c>
      <c r="L91">
        <v>825</v>
      </c>
      <c r="M91">
        <v>0</v>
      </c>
      <c r="N91">
        <v>0</v>
      </c>
      <c r="O91">
        <v>0</v>
      </c>
      <c r="P91">
        <v>138</v>
      </c>
      <c r="Q91">
        <v>138</v>
      </c>
      <c r="R91">
        <v>0</v>
      </c>
      <c r="S91">
        <v>143</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0</v>
      </c>
      <c r="AT91">
        <v>0</v>
      </c>
      <c r="AU91">
        <v>0</v>
      </c>
      <c r="AV91">
        <v>30</v>
      </c>
      <c r="AW91">
        <v>0</v>
      </c>
      <c r="AX91">
        <v>0</v>
      </c>
      <c r="AY91">
        <v>0</v>
      </c>
    </row>
    <row r="92" spans="1:51" x14ac:dyDescent="0.3">
      <c r="A92" t="s">
        <v>51</v>
      </c>
      <c r="B92" t="s">
        <v>52</v>
      </c>
      <c r="C92" t="s">
        <v>164</v>
      </c>
      <c r="D92" t="s">
        <v>166</v>
      </c>
      <c r="E92" t="s">
        <v>55</v>
      </c>
      <c r="F92">
        <v>37</v>
      </c>
      <c r="G92">
        <v>0</v>
      </c>
      <c r="H92">
        <v>0</v>
      </c>
      <c r="I92">
        <v>37</v>
      </c>
      <c r="J92">
        <v>0</v>
      </c>
      <c r="K92">
        <v>35</v>
      </c>
      <c r="L92">
        <v>207</v>
      </c>
      <c r="M92">
        <v>0</v>
      </c>
      <c r="N92">
        <v>0</v>
      </c>
      <c r="O92">
        <v>0</v>
      </c>
      <c r="P92">
        <v>45</v>
      </c>
      <c r="Q92">
        <v>45</v>
      </c>
      <c r="R92">
        <v>0</v>
      </c>
      <c r="S92">
        <v>35</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0</v>
      </c>
      <c r="AO92">
        <v>0</v>
      </c>
      <c r="AP92">
        <v>0</v>
      </c>
      <c r="AQ92">
        <v>0</v>
      </c>
      <c r="AR92">
        <v>0</v>
      </c>
      <c r="AS92">
        <v>0</v>
      </c>
      <c r="AT92">
        <v>0</v>
      </c>
      <c r="AU92">
        <v>0</v>
      </c>
      <c r="AV92">
        <v>4</v>
      </c>
      <c r="AW92">
        <v>0</v>
      </c>
      <c r="AX92">
        <v>0</v>
      </c>
      <c r="AY92">
        <v>0</v>
      </c>
    </row>
    <row r="93" spans="1:51" x14ac:dyDescent="0.3">
      <c r="A93" t="s">
        <v>51</v>
      </c>
      <c r="B93" t="s">
        <v>52</v>
      </c>
      <c r="C93" t="s">
        <v>164</v>
      </c>
      <c r="D93" t="s">
        <v>167</v>
      </c>
      <c r="E93" t="s">
        <v>55</v>
      </c>
      <c r="F93">
        <v>80</v>
      </c>
      <c r="G93">
        <v>0</v>
      </c>
      <c r="H93">
        <v>0</v>
      </c>
      <c r="I93">
        <v>80</v>
      </c>
      <c r="J93">
        <v>0</v>
      </c>
      <c r="K93">
        <v>75</v>
      </c>
      <c r="L93">
        <v>409</v>
      </c>
      <c r="M93">
        <v>0</v>
      </c>
      <c r="N93">
        <v>0</v>
      </c>
      <c r="O93">
        <v>0</v>
      </c>
      <c r="P93">
        <v>88</v>
      </c>
      <c r="Q93">
        <v>88</v>
      </c>
      <c r="R93">
        <v>0</v>
      </c>
      <c r="S93">
        <v>79</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35</v>
      </c>
      <c r="AW93">
        <v>0</v>
      </c>
      <c r="AX93">
        <v>0</v>
      </c>
      <c r="AY93">
        <v>0</v>
      </c>
    </row>
    <row r="94" spans="1:51" x14ac:dyDescent="0.3">
      <c r="A94" t="s">
        <v>51</v>
      </c>
      <c r="B94" t="s">
        <v>52</v>
      </c>
      <c r="C94" t="s">
        <v>168</v>
      </c>
      <c r="D94" t="s">
        <v>169</v>
      </c>
      <c r="E94" t="s">
        <v>55</v>
      </c>
      <c r="F94">
        <v>0</v>
      </c>
      <c r="G94">
        <v>0</v>
      </c>
      <c r="H94">
        <v>0</v>
      </c>
      <c r="I94">
        <v>0</v>
      </c>
      <c r="J94">
        <v>0</v>
      </c>
      <c r="K94">
        <v>0</v>
      </c>
      <c r="L94">
        <v>22</v>
      </c>
      <c r="M94">
        <v>10</v>
      </c>
      <c r="N94">
        <v>12</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row>
    <row r="95" spans="1:51" x14ac:dyDescent="0.3">
      <c r="A95" t="s">
        <v>51</v>
      </c>
      <c r="B95" t="s">
        <v>72</v>
      </c>
      <c r="C95" t="s">
        <v>170</v>
      </c>
      <c r="D95" t="s">
        <v>171</v>
      </c>
      <c r="E95" t="s">
        <v>172</v>
      </c>
      <c r="F95">
        <v>0</v>
      </c>
      <c r="G95">
        <v>0</v>
      </c>
      <c r="H95">
        <v>0</v>
      </c>
      <c r="I95">
        <v>0</v>
      </c>
      <c r="J95">
        <v>0</v>
      </c>
      <c r="K95">
        <v>0</v>
      </c>
      <c r="L95">
        <v>0</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row>
    <row r="96" spans="1:51" x14ac:dyDescent="0.3">
      <c r="A96" t="s">
        <v>51</v>
      </c>
      <c r="B96" t="s">
        <v>173</v>
      </c>
      <c r="C96" t="s">
        <v>170</v>
      </c>
      <c r="D96" t="s">
        <v>174</v>
      </c>
      <c r="E96" t="s">
        <v>172</v>
      </c>
      <c r="F96">
        <v>0</v>
      </c>
      <c r="G96">
        <v>0</v>
      </c>
      <c r="H96">
        <v>0</v>
      </c>
      <c r="I96">
        <v>0</v>
      </c>
      <c r="J96">
        <v>0</v>
      </c>
      <c r="K96">
        <v>0</v>
      </c>
      <c r="L96">
        <v>229</v>
      </c>
      <c r="M96">
        <v>117</v>
      </c>
      <c r="N96">
        <v>112</v>
      </c>
      <c r="O96">
        <v>0</v>
      </c>
      <c r="P96">
        <v>0</v>
      </c>
      <c r="Q96">
        <v>0</v>
      </c>
      <c r="R96">
        <v>0</v>
      </c>
      <c r="S96">
        <v>0</v>
      </c>
      <c r="T96">
        <v>0</v>
      </c>
      <c r="U96">
        <v>0</v>
      </c>
      <c r="V96">
        <v>0</v>
      </c>
      <c r="W96">
        <v>0</v>
      </c>
      <c r="X96">
        <v>0</v>
      </c>
      <c r="Y96">
        <v>0</v>
      </c>
      <c r="Z96">
        <v>0</v>
      </c>
      <c r="AA96">
        <v>0</v>
      </c>
      <c r="AB96">
        <v>31</v>
      </c>
      <c r="AC96">
        <v>16</v>
      </c>
      <c r="AD96">
        <v>0</v>
      </c>
      <c r="AE96">
        <v>16</v>
      </c>
      <c r="AF96">
        <v>179</v>
      </c>
      <c r="AG96">
        <v>0</v>
      </c>
      <c r="AH96">
        <v>0</v>
      </c>
      <c r="AI96">
        <v>0</v>
      </c>
      <c r="AJ96">
        <v>0</v>
      </c>
      <c r="AK96">
        <v>0</v>
      </c>
      <c r="AL96">
        <v>0</v>
      </c>
      <c r="AM96">
        <v>0</v>
      </c>
      <c r="AN96">
        <v>0</v>
      </c>
      <c r="AO96">
        <v>0</v>
      </c>
      <c r="AP96">
        <v>0</v>
      </c>
      <c r="AQ96">
        <v>0</v>
      </c>
      <c r="AR96">
        <v>0</v>
      </c>
      <c r="AS96">
        <v>0</v>
      </c>
      <c r="AT96">
        <v>0</v>
      </c>
      <c r="AU96">
        <v>0</v>
      </c>
      <c r="AV96">
        <v>0</v>
      </c>
      <c r="AW96">
        <v>0</v>
      </c>
      <c r="AX96">
        <v>0</v>
      </c>
      <c r="AY96">
        <v>0</v>
      </c>
    </row>
    <row r="97" spans="1:51" x14ac:dyDescent="0.3">
      <c r="A97" t="s">
        <v>51</v>
      </c>
      <c r="B97" t="s">
        <v>173</v>
      </c>
      <c r="C97" t="s">
        <v>170</v>
      </c>
      <c r="D97" t="s">
        <v>175</v>
      </c>
      <c r="E97" t="s">
        <v>172</v>
      </c>
      <c r="F97">
        <v>0</v>
      </c>
      <c r="G97">
        <v>0</v>
      </c>
      <c r="H97">
        <v>0</v>
      </c>
      <c r="I97">
        <v>0</v>
      </c>
      <c r="J97">
        <v>0</v>
      </c>
      <c r="K97">
        <v>0</v>
      </c>
      <c r="L97">
        <v>566</v>
      </c>
      <c r="M97">
        <v>18</v>
      </c>
      <c r="N97">
        <v>21</v>
      </c>
      <c r="O97">
        <v>19</v>
      </c>
      <c r="P97">
        <v>92</v>
      </c>
      <c r="Q97">
        <v>96</v>
      </c>
      <c r="R97">
        <v>9</v>
      </c>
      <c r="S97">
        <v>149</v>
      </c>
      <c r="T97">
        <v>7</v>
      </c>
      <c r="U97">
        <v>1</v>
      </c>
      <c r="V97">
        <v>2</v>
      </c>
      <c r="W97">
        <v>0</v>
      </c>
      <c r="X97">
        <v>288</v>
      </c>
      <c r="Y97">
        <v>223</v>
      </c>
      <c r="Z97">
        <v>3</v>
      </c>
      <c r="AA97">
        <v>3</v>
      </c>
      <c r="AB97">
        <v>105</v>
      </c>
      <c r="AC97">
        <v>18</v>
      </c>
      <c r="AD97">
        <v>3</v>
      </c>
      <c r="AE97">
        <v>9</v>
      </c>
      <c r="AF97">
        <v>128</v>
      </c>
      <c r="AG97">
        <v>0</v>
      </c>
      <c r="AH97">
        <v>0</v>
      </c>
      <c r="AI97">
        <v>0</v>
      </c>
      <c r="AJ97">
        <v>0</v>
      </c>
      <c r="AK97">
        <v>0</v>
      </c>
      <c r="AL97">
        <v>45</v>
      </c>
      <c r="AM97">
        <v>38</v>
      </c>
      <c r="AN97">
        <v>0</v>
      </c>
      <c r="AO97">
        <v>0</v>
      </c>
      <c r="AP97">
        <v>0</v>
      </c>
      <c r="AQ97">
        <v>0</v>
      </c>
      <c r="AR97">
        <v>0</v>
      </c>
      <c r="AS97">
        <v>0</v>
      </c>
      <c r="AT97">
        <v>0</v>
      </c>
      <c r="AU97">
        <v>0</v>
      </c>
      <c r="AV97">
        <v>0</v>
      </c>
      <c r="AW97">
        <v>0</v>
      </c>
      <c r="AX97">
        <v>0</v>
      </c>
      <c r="AY97">
        <v>0</v>
      </c>
    </row>
    <row r="98" spans="1:51" x14ac:dyDescent="0.3">
      <c r="A98" t="s">
        <v>51</v>
      </c>
      <c r="B98" t="s">
        <v>173</v>
      </c>
      <c r="C98" t="s">
        <v>170</v>
      </c>
      <c r="D98" t="s">
        <v>176</v>
      </c>
      <c r="E98" t="s">
        <v>172</v>
      </c>
      <c r="F98">
        <v>0</v>
      </c>
      <c r="G98">
        <v>0</v>
      </c>
      <c r="H98">
        <v>0</v>
      </c>
      <c r="I98">
        <v>0</v>
      </c>
      <c r="J98">
        <v>0</v>
      </c>
      <c r="K98">
        <v>0</v>
      </c>
      <c r="L98">
        <v>267</v>
      </c>
      <c r="M98">
        <v>132</v>
      </c>
      <c r="N98">
        <v>123</v>
      </c>
      <c r="O98">
        <v>12</v>
      </c>
      <c r="P98">
        <v>0</v>
      </c>
      <c r="Q98">
        <v>0</v>
      </c>
      <c r="R98">
        <v>0</v>
      </c>
      <c r="S98">
        <v>0</v>
      </c>
      <c r="T98">
        <v>1</v>
      </c>
      <c r="U98">
        <v>5</v>
      </c>
      <c r="V98">
        <v>4</v>
      </c>
      <c r="W98">
        <v>0</v>
      </c>
      <c r="X98">
        <v>110</v>
      </c>
      <c r="Y98">
        <v>674</v>
      </c>
      <c r="Z98">
        <v>9</v>
      </c>
      <c r="AA98">
        <v>11</v>
      </c>
      <c r="AB98">
        <v>95</v>
      </c>
      <c r="AC98">
        <v>0</v>
      </c>
      <c r="AD98">
        <v>8</v>
      </c>
      <c r="AE98">
        <v>38</v>
      </c>
      <c r="AF98">
        <v>210</v>
      </c>
      <c r="AG98">
        <v>0</v>
      </c>
      <c r="AH98">
        <v>0</v>
      </c>
      <c r="AI98">
        <v>0</v>
      </c>
      <c r="AJ98">
        <v>0</v>
      </c>
      <c r="AK98">
        <v>0</v>
      </c>
      <c r="AL98">
        <v>1</v>
      </c>
      <c r="AM98">
        <v>20</v>
      </c>
      <c r="AN98">
        <v>0</v>
      </c>
      <c r="AO98">
        <v>0</v>
      </c>
      <c r="AP98">
        <v>0</v>
      </c>
      <c r="AQ98">
        <v>0</v>
      </c>
      <c r="AR98">
        <v>0</v>
      </c>
      <c r="AS98">
        <v>0</v>
      </c>
      <c r="AT98">
        <v>0</v>
      </c>
      <c r="AU98">
        <v>0</v>
      </c>
      <c r="AV98">
        <v>0</v>
      </c>
      <c r="AW98">
        <v>0</v>
      </c>
      <c r="AX98">
        <v>0</v>
      </c>
      <c r="AY98">
        <v>0</v>
      </c>
    </row>
    <row r="99" spans="1:51" x14ac:dyDescent="0.3">
      <c r="A99" t="s">
        <v>51</v>
      </c>
      <c r="B99" t="s">
        <v>173</v>
      </c>
      <c r="C99" t="s">
        <v>164</v>
      </c>
      <c r="D99" t="s">
        <v>177</v>
      </c>
      <c r="E99" t="s">
        <v>55</v>
      </c>
      <c r="F99">
        <v>25</v>
      </c>
      <c r="G99">
        <v>0</v>
      </c>
      <c r="H99">
        <v>2</v>
      </c>
      <c r="I99">
        <v>23</v>
      </c>
      <c r="J99">
        <v>0</v>
      </c>
      <c r="K99">
        <v>17</v>
      </c>
      <c r="L99">
        <v>3774</v>
      </c>
      <c r="M99">
        <v>138</v>
      </c>
      <c r="N99">
        <v>122</v>
      </c>
      <c r="O99">
        <v>10</v>
      </c>
      <c r="P99">
        <v>0</v>
      </c>
      <c r="Q99">
        <v>0</v>
      </c>
      <c r="R99">
        <v>126</v>
      </c>
      <c r="S99">
        <v>361</v>
      </c>
      <c r="T99">
        <v>14</v>
      </c>
      <c r="U99">
        <v>8</v>
      </c>
      <c r="V99">
        <v>16</v>
      </c>
      <c r="W99">
        <v>2</v>
      </c>
      <c r="X99">
        <v>5</v>
      </c>
      <c r="Y99">
        <v>258</v>
      </c>
      <c r="Z99">
        <v>6</v>
      </c>
      <c r="AA99">
        <v>6</v>
      </c>
      <c r="AB99">
        <v>365</v>
      </c>
      <c r="AC99">
        <v>8</v>
      </c>
      <c r="AD99">
        <v>5</v>
      </c>
      <c r="AE99">
        <v>12</v>
      </c>
      <c r="AF99">
        <v>286</v>
      </c>
      <c r="AG99">
        <v>0</v>
      </c>
      <c r="AH99">
        <v>0</v>
      </c>
      <c r="AI99">
        <v>0</v>
      </c>
      <c r="AJ99">
        <v>0</v>
      </c>
      <c r="AK99">
        <v>0</v>
      </c>
      <c r="AL99">
        <v>7</v>
      </c>
      <c r="AM99">
        <v>14</v>
      </c>
      <c r="AN99">
        <v>99</v>
      </c>
      <c r="AO99">
        <v>1</v>
      </c>
      <c r="AP99">
        <v>1</v>
      </c>
      <c r="AQ99">
        <v>10</v>
      </c>
      <c r="AR99">
        <v>9</v>
      </c>
      <c r="AS99">
        <v>0</v>
      </c>
      <c r="AT99">
        <v>1</v>
      </c>
      <c r="AU99">
        <v>0</v>
      </c>
      <c r="AV99">
        <v>28</v>
      </c>
      <c r="AW99">
        <v>64</v>
      </c>
      <c r="AX99">
        <v>0</v>
      </c>
      <c r="AY99">
        <v>12</v>
      </c>
    </row>
    <row r="100" spans="1:51" x14ac:dyDescent="0.3">
      <c r="A100" t="s">
        <v>51</v>
      </c>
      <c r="B100" t="s">
        <v>173</v>
      </c>
      <c r="C100" t="s">
        <v>170</v>
      </c>
      <c r="D100" t="s">
        <v>178</v>
      </c>
      <c r="E100" t="s">
        <v>172</v>
      </c>
      <c r="F100">
        <v>0</v>
      </c>
      <c r="G100">
        <v>0</v>
      </c>
      <c r="H100">
        <v>0</v>
      </c>
      <c r="I100">
        <v>0</v>
      </c>
      <c r="J100">
        <v>0</v>
      </c>
      <c r="K100">
        <v>0</v>
      </c>
      <c r="L100">
        <v>0</v>
      </c>
      <c r="M100">
        <v>0</v>
      </c>
      <c r="N100">
        <v>0</v>
      </c>
      <c r="O100">
        <v>0</v>
      </c>
      <c r="P100">
        <v>0</v>
      </c>
      <c r="Q100">
        <v>0</v>
      </c>
      <c r="R100">
        <v>0</v>
      </c>
      <c r="S100">
        <v>0</v>
      </c>
      <c r="T100">
        <v>0</v>
      </c>
      <c r="U100">
        <v>0</v>
      </c>
      <c r="V100">
        <v>0</v>
      </c>
      <c r="W100">
        <v>0</v>
      </c>
      <c r="X100">
        <v>0</v>
      </c>
      <c r="Y100">
        <v>17</v>
      </c>
      <c r="Z100">
        <v>0</v>
      </c>
      <c r="AA100">
        <v>0</v>
      </c>
      <c r="AB100">
        <v>0</v>
      </c>
      <c r="AC100">
        <v>0</v>
      </c>
      <c r="AD100">
        <v>0</v>
      </c>
      <c r="AE100">
        <v>0</v>
      </c>
      <c r="AF100">
        <v>34</v>
      </c>
      <c r="AG100">
        <v>31</v>
      </c>
      <c r="AH100">
        <v>0</v>
      </c>
      <c r="AI100">
        <v>0</v>
      </c>
      <c r="AJ100">
        <v>0</v>
      </c>
      <c r="AK100">
        <v>0</v>
      </c>
      <c r="AL100">
        <v>0</v>
      </c>
      <c r="AM100">
        <v>0</v>
      </c>
      <c r="AN100">
        <v>0</v>
      </c>
      <c r="AO100">
        <v>0</v>
      </c>
      <c r="AP100">
        <v>0</v>
      </c>
      <c r="AQ100">
        <v>0</v>
      </c>
      <c r="AR100">
        <v>0</v>
      </c>
      <c r="AS100">
        <v>0</v>
      </c>
      <c r="AT100">
        <v>0</v>
      </c>
      <c r="AU100">
        <v>0</v>
      </c>
      <c r="AV100">
        <v>0</v>
      </c>
      <c r="AW100">
        <v>0</v>
      </c>
      <c r="AX100">
        <v>0</v>
      </c>
      <c r="AY100">
        <v>0</v>
      </c>
    </row>
    <row r="101" spans="1:51" x14ac:dyDescent="0.3">
      <c r="A101" t="s">
        <v>51</v>
      </c>
      <c r="B101" t="s">
        <v>173</v>
      </c>
      <c r="C101" t="s">
        <v>170</v>
      </c>
      <c r="D101" t="s">
        <v>179</v>
      </c>
      <c r="E101" t="s">
        <v>172</v>
      </c>
      <c r="F101">
        <v>0</v>
      </c>
      <c r="G101">
        <v>0</v>
      </c>
      <c r="H101">
        <v>0</v>
      </c>
      <c r="I101">
        <v>0</v>
      </c>
      <c r="J101">
        <v>0</v>
      </c>
      <c r="K101">
        <v>0</v>
      </c>
      <c r="L101">
        <v>1690</v>
      </c>
      <c r="M101">
        <v>30</v>
      </c>
      <c r="N101">
        <v>34</v>
      </c>
      <c r="O101">
        <v>0</v>
      </c>
      <c r="P101">
        <v>0</v>
      </c>
      <c r="Q101">
        <v>0</v>
      </c>
      <c r="R101">
        <v>0</v>
      </c>
      <c r="S101">
        <v>0</v>
      </c>
      <c r="T101">
        <v>0</v>
      </c>
      <c r="U101">
        <v>7</v>
      </c>
      <c r="V101">
        <v>7</v>
      </c>
      <c r="W101">
        <v>1</v>
      </c>
      <c r="X101">
        <v>0</v>
      </c>
      <c r="Y101">
        <v>26</v>
      </c>
      <c r="Z101">
        <v>1</v>
      </c>
      <c r="AA101">
        <v>1</v>
      </c>
      <c r="AB101">
        <v>9</v>
      </c>
      <c r="AC101">
        <v>0</v>
      </c>
      <c r="AD101">
        <v>0</v>
      </c>
      <c r="AE101">
        <v>0</v>
      </c>
      <c r="AF101">
        <v>44</v>
      </c>
      <c r="AG101">
        <v>1</v>
      </c>
      <c r="AH101">
        <v>0</v>
      </c>
      <c r="AI101">
        <v>0</v>
      </c>
      <c r="AJ101">
        <v>0</v>
      </c>
      <c r="AK101">
        <v>0</v>
      </c>
      <c r="AL101">
        <v>0</v>
      </c>
      <c r="AM101">
        <v>0</v>
      </c>
      <c r="AN101">
        <v>0</v>
      </c>
      <c r="AO101">
        <v>0</v>
      </c>
      <c r="AP101">
        <v>0</v>
      </c>
      <c r="AQ101">
        <v>0</v>
      </c>
      <c r="AR101">
        <v>0</v>
      </c>
      <c r="AS101">
        <v>0</v>
      </c>
      <c r="AT101">
        <v>0</v>
      </c>
      <c r="AU101">
        <v>0</v>
      </c>
      <c r="AV101">
        <v>0</v>
      </c>
      <c r="AW101">
        <v>21</v>
      </c>
      <c r="AX101">
        <v>1</v>
      </c>
      <c r="AY101">
        <v>0</v>
      </c>
    </row>
    <row r="102" spans="1:51" x14ac:dyDescent="0.3">
      <c r="A102" t="s">
        <v>51</v>
      </c>
      <c r="B102" t="s">
        <v>173</v>
      </c>
      <c r="C102" t="s">
        <v>170</v>
      </c>
      <c r="D102" t="s">
        <v>180</v>
      </c>
      <c r="E102" t="s">
        <v>172</v>
      </c>
      <c r="F102">
        <v>0</v>
      </c>
      <c r="G102">
        <v>0</v>
      </c>
      <c r="H102">
        <v>0</v>
      </c>
      <c r="I102">
        <v>0</v>
      </c>
      <c r="J102">
        <v>0</v>
      </c>
      <c r="K102">
        <v>0</v>
      </c>
      <c r="L102">
        <v>0</v>
      </c>
      <c r="M102">
        <v>0</v>
      </c>
      <c r="N102">
        <v>0</v>
      </c>
      <c r="O102">
        <v>0</v>
      </c>
      <c r="P102">
        <v>10</v>
      </c>
      <c r="Q102">
        <v>10</v>
      </c>
      <c r="R102">
        <v>1</v>
      </c>
      <c r="S102">
        <v>0</v>
      </c>
      <c r="T102">
        <v>0</v>
      </c>
      <c r="U102">
        <v>1</v>
      </c>
      <c r="V102">
        <v>4</v>
      </c>
      <c r="W102">
        <v>0</v>
      </c>
      <c r="X102">
        <v>0</v>
      </c>
      <c r="Y102">
        <v>0</v>
      </c>
      <c r="Z102">
        <v>0</v>
      </c>
      <c r="AA102">
        <v>0</v>
      </c>
      <c r="AB102">
        <v>5</v>
      </c>
      <c r="AC102">
        <v>1</v>
      </c>
      <c r="AD102">
        <v>0</v>
      </c>
      <c r="AE102">
        <v>0</v>
      </c>
      <c r="AF102">
        <v>0</v>
      </c>
      <c r="AG102">
        <v>0</v>
      </c>
      <c r="AH102">
        <v>0</v>
      </c>
      <c r="AI102">
        <v>0</v>
      </c>
      <c r="AJ102">
        <v>0</v>
      </c>
      <c r="AK102">
        <v>0</v>
      </c>
      <c r="AL102">
        <v>2</v>
      </c>
      <c r="AM102">
        <v>0</v>
      </c>
      <c r="AN102">
        <v>0</v>
      </c>
      <c r="AO102">
        <v>0</v>
      </c>
      <c r="AP102">
        <v>0</v>
      </c>
      <c r="AQ102">
        <v>0</v>
      </c>
      <c r="AR102">
        <v>0</v>
      </c>
      <c r="AS102">
        <v>0</v>
      </c>
      <c r="AT102">
        <v>0</v>
      </c>
      <c r="AU102">
        <v>0</v>
      </c>
      <c r="AV102">
        <v>0</v>
      </c>
      <c r="AW102">
        <v>0</v>
      </c>
      <c r="AX102">
        <v>0</v>
      </c>
      <c r="AY102">
        <v>0</v>
      </c>
    </row>
    <row r="103" spans="1:51" x14ac:dyDescent="0.3">
      <c r="A103" t="s">
        <v>181</v>
      </c>
      <c r="B103" t="s">
        <v>52</v>
      </c>
      <c r="C103" t="s">
        <v>182</v>
      </c>
      <c r="D103" t="s">
        <v>183</v>
      </c>
      <c r="E103" t="s">
        <v>55</v>
      </c>
      <c r="F103">
        <v>20</v>
      </c>
      <c r="G103">
        <v>0</v>
      </c>
      <c r="H103">
        <v>0</v>
      </c>
      <c r="I103">
        <v>20</v>
      </c>
      <c r="J103">
        <v>0</v>
      </c>
      <c r="K103">
        <v>19</v>
      </c>
      <c r="L103">
        <v>112</v>
      </c>
      <c r="M103">
        <v>0</v>
      </c>
      <c r="N103">
        <v>3</v>
      </c>
      <c r="O103">
        <v>0</v>
      </c>
      <c r="P103">
        <v>22</v>
      </c>
      <c r="Q103">
        <v>22</v>
      </c>
      <c r="R103">
        <v>17</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42</v>
      </c>
      <c r="AO103">
        <v>0</v>
      </c>
      <c r="AP103">
        <v>0</v>
      </c>
      <c r="AQ103">
        <v>0</v>
      </c>
      <c r="AR103">
        <v>0</v>
      </c>
      <c r="AS103">
        <v>0</v>
      </c>
      <c r="AT103">
        <v>0</v>
      </c>
      <c r="AU103">
        <v>0</v>
      </c>
      <c r="AV103">
        <v>9</v>
      </c>
      <c r="AW103">
        <v>0</v>
      </c>
      <c r="AX103">
        <v>0</v>
      </c>
      <c r="AY103">
        <v>0</v>
      </c>
    </row>
    <row r="104" spans="1:51" x14ac:dyDescent="0.3">
      <c r="A104" t="s">
        <v>181</v>
      </c>
      <c r="B104" t="s">
        <v>52</v>
      </c>
      <c r="C104" t="s">
        <v>184</v>
      </c>
      <c r="D104" t="s">
        <v>185</v>
      </c>
      <c r="E104" t="s">
        <v>55</v>
      </c>
      <c r="F104">
        <v>83</v>
      </c>
      <c r="G104">
        <v>0</v>
      </c>
      <c r="H104">
        <v>0</v>
      </c>
      <c r="I104">
        <v>83</v>
      </c>
      <c r="J104">
        <v>0</v>
      </c>
      <c r="K104">
        <v>82</v>
      </c>
      <c r="L104">
        <v>409</v>
      </c>
      <c r="M104">
        <v>22</v>
      </c>
      <c r="N104">
        <v>26</v>
      </c>
      <c r="O104">
        <v>5</v>
      </c>
      <c r="P104">
        <v>52</v>
      </c>
      <c r="Q104">
        <v>58</v>
      </c>
      <c r="R104">
        <v>26</v>
      </c>
      <c r="S104">
        <v>0</v>
      </c>
      <c r="T104">
        <v>0</v>
      </c>
      <c r="U104">
        <v>0</v>
      </c>
      <c r="V104">
        <v>0</v>
      </c>
      <c r="W104">
        <v>0</v>
      </c>
      <c r="X104">
        <v>3</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23</v>
      </c>
      <c r="AW104">
        <v>0</v>
      </c>
      <c r="AX104">
        <v>0</v>
      </c>
      <c r="AY104">
        <v>0</v>
      </c>
    </row>
    <row r="105" spans="1:51" x14ac:dyDescent="0.3">
      <c r="A105" t="s">
        <v>181</v>
      </c>
      <c r="B105" t="s">
        <v>52</v>
      </c>
      <c r="C105" t="s">
        <v>184</v>
      </c>
      <c r="D105" t="s">
        <v>186</v>
      </c>
      <c r="E105" t="s">
        <v>55</v>
      </c>
      <c r="F105">
        <v>37</v>
      </c>
      <c r="G105">
        <v>0</v>
      </c>
      <c r="H105">
        <v>0</v>
      </c>
      <c r="I105">
        <v>35</v>
      </c>
      <c r="J105">
        <v>0</v>
      </c>
      <c r="K105">
        <v>36</v>
      </c>
      <c r="L105">
        <v>176</v>
      </c>
      <c r="M105">
        <v>7</v>
      </c>
      <c r="N105">
        <v>3</v>
      </c>
      <c r="O105">
        <v>1</v>
      </c>
      <c r="P105">
        <v>27</v>
      </c>
      <c r="Q105">
        <v>27</v>
      </c>
      <c r="R105">
        <v>12</v>
      </c>
      <c r="S105">
        <v>0</v>
      </c>
      <c r="T105">
        <v>0</v>
      </c>
      <c r="U105">
        <v>0</v>
      </c>
      <c r="V105">
        <v>0</v>
      </c>
      <c r="W105">
        <v>0</v>
      </c>
      <c r="X105">
        <v>0</v>
      </c>
      <c r="Y105">
        <v>0</v>
      </c>
      <c r="Z105">
        <v>0</v>
      </c>
      <c r="AA105">
        <v>0</v>
      </c>
      <c r="AB105">
        <v>0</v>
      </c>
      <c r="AC105">
        <v>0</v>
      </c>
      <c r="AD105">
        <v>0</v>
      </c>
      <c r="AE105">
        <v>0</v>
      </c>
      <c r="AF105">
        <v>0</v>
      </c>
      <c r="AG105">
        <v>0</v>
      </c>
      <c r="AH105">
        <v>0</v>
      </c>
      <c r="AI105">
        <v>0</v>
      </c>
      <c r="AJ105">
        <v>0</v>
      </c>
      <c r="AK105">
        <v>0</v>
      </c>
      <c r="AL105">
        <v>0</v>
      </c>
      <c r="AM105">
        <v>0</v>
      </c>
      <c r="AN105">
        <v>1</v>
      </c>
      <c r="AO105">
        <v>0</v>
      </c>
      <c r="AP105">
        <v>0</v>
      </c>
      <c r="AQ105">
        <v>0</v>
      </c>
      <c r="AR105">
        <v>0</v>
      </c>
      <c r="AS105">
        <v>0</v>
      </c>
      <c r="AT105">
        <v>0</v>
      </c>
      <c r="AU105">
        <v>0</v>
      </c>
      <c r="AV105">
        <v>3</v>
      </c>
      <c r="AW105">
        <v>0</v>
      </c>
      <c r="AX105">
        <v>0</v>
      </c>
      <c r="AY105">
        <v>0</v>
      </c>
    </row>
    <row r="106" spans="1:51" x14ac:dyDescent="0.3">
      <c r="A106" t="s">
        <v>181</v>
      </c>
      <c r="B106" t="s">
        <v>52</v>
      </c>
      <c r="C106" t="s">
        <v>184</v>
      </c>
      <c r="D106" t="s">
        <v>187</v>
      </c>
      <c r="E106" t="s">
        <v>55</v>
      </c>
      <c r="F106">
        <v>18</v>
      </c>
      <c r="G106">
        <v>0</v>
      </c>
      <c r="H106">
        <v>0</v>
      </c>
      <c r="I106">
        <v>18</v>
      </c>
      <c r="J106">
        <v>0</v>
      </c>
      <c r="K106">
        <v>18</v>
      </c>
      <c r="L106">
        <v>67</v>
      </c>
      <c r="M106">
        <v>6</v>
      </c>
      <c r="N106">
        <v>4</v>
      </c>
      <c r="O106">
        <v>2</v>
      </c>
      <c r="P106">
        <v>9</v>
      </c>
      <c r="Q106">
        <v>9</v>
      </c>
      <c r="R106">
        <v>2</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2</v>
      </c>
      <c r="AW106">
        <v>0</v>
      </c>
      <c r="AX106">
        <v>0</v>
      </c>
      <c r="AY106">
        <v>0</v>
      </c>
    </row>
    <row r="107" spans="1:51" x14ac:dyDescent="0.3">
      <c r="A107" t="s">
        <v>181</v>
      </c>
      <c r="B107" t="s">
        <v>52</v>
      </c>
      <c r="C107" t="s">
        <v>188</v>
      </c>
      <c r="D107" t="s">
        <v>189</v>
      </c>
      <c r="E107" t="s">
        <v>55</v>
      </c>
      <c r="F107">
        <v>68</v>
      </c>
      <c r="G107">
        <v>0</v>
      </c>
      <c r="H107">
        <v>0</v>
      </c>
      <c r="I107">
        <v>68</v>
      </c>
      <c r="J107">
        <v>0</v>
      </c>
      <c r="K107">
        <v>64</v>
      </c>
      <c r="L107">
        <v>325</v>
      </c>
      <c r="M107">
        <v>4</v>
      </c>
      <c r="N107">
        <v>6</v>
      </c>
      <c r="O107">
        <v>1</v>
      </c>
      <c r="P107">
        <v>50</v>
      </c>
      <c r="Q107">
        <v>50</v>
      </c>
      <c r="R107">
        <v>54</v>
      </c>
      <c r="S107">
        <v>12</v>
      </c>
      <c r="T107">
        <v>0</v>
      </c>
      <c r="U107">
        <v>0</v>
      </c>
      <c r="V107">
        <v>0</v>
      </c>
      <c r="W107">
        <v>0</v>
      </c>
      <c r="X107">
        <v>5</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0</v>
      </c>
      <c r="AS107">
        <v>0</v>
      </c>
      <c r="AT107">
        <v>0</v>
      </c>
      <c r="AU107">
        <v>0</v>
      </c>
      <c r="AV107">
        <v>0</v>
      </c>
      <c r="AW107">
        <v>0</v>
      </c>
      <c r="AX107">
        <v>0</v>
      </c>
      <c r="AY107">
        <v>0</v>
      </c>
    </row>
    <row r="108" spans="1:51" x14ac:dyDescent="0.3">
      <c r="A108" t="s">
        <v>181</v>
      </c>
      <c r="B108" t="s">
        <v>52</v>
      </c>
      <c r="C108" t="s">
        <v>190</v>
      </c>
      <c r="D108" t="s">
        <v>191</v>
      </c>
      <c r="E108" t="s">
        <v>55</v>
      </c>
      <c r="F108">
        <v>44</v>
      </c>
      <c r="G108">
        <v>0</v>
      </c>
      <c r="H108">
        <v>0</v>
      </c>
      <c r="I108">
        <v>37</v>
      </c>
      <c r="J108">
        <v>7</v>
      </c>
      <c r="K108">
        <v>29</v>
      </c>
      <c r="L108">
        <v>216</v>
      </c>
      <c r="M108">
        <v>10</v>
      </c>
      <c r="N108">
        <v>11</v>
      </c>
      <c r="O108">
        <v>1</v>
      </c>
      <c r="P108">
        <v>37</v>
      </c>
      <c r="Q108">
        <v>37</v>
      </c>
      <c r="R108">
        <v>41</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17</v>
      </c>
      <c r="AW108">
        <v>0</v>
      </c>
      <c r="AX108">
        <v>0</v>
      </c>
      <c r="AY108">
        <v>0</v>
      </c>
    </row>
    <row r="109" spans="1:51" x14ac:dyDescent="0.3">
      <c r="A109" t="s">
        <v>181</v>
      </c>
      <c r="B109" t="s">
        <v>52</v>
      </c>
      <c r="C109" t="s">
        <v>190</v>
      </c>
      <c r="D109" t="s">
        <v>192</v>
      </c>
      <c r="E109" t="s">
        <v>55</v>
      </c>
      <c r="F109">
        <v>28</v>
      </c>
      <c r="G109">
        <v>0</v>
      </c>
      <c r="H109">
        <v>0</v>
      </c>
      <c r="I109">
        <v>28</v>
      </c>
      <c r="J109">
        <v>0</v>
      </c>
      <c r="K109">
        <v>24</v>
      </c>
      <c r="L109">
        <v>170</v>
      </c>
      <c r="M109">
        <v>12</v>
      </c>
      <c r="N109">
        <v>13</v>
      </c>
      <c r="O109">
        <v>3</v>
      </c>
      <c r="P109">
        <v>25</v>
      </c>
      <c r="Q109">
        <v>27</v>
      </c>
      <c r="R109">
        <v>28</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0</v>
      </c>
      <c r="AU109">
        <v>0</v>
      </c>
      <c r="AV109">
        <v>10</v>
      </c>
      <c r="AW109">
        <v>0</v>
      </c>
      <c r="AX109">
        <v>0</v>
      </c>
      <c r="AY109">
        <v>0</v>
      </c>
    </row>
    <row r="110" spans="1:51" x14ac:dyDescent="0.3">
      <c r="A110" t="s">
        <v>181</v>
      </c>
      <c r="B110" t="s">
        <v>52</v>
      </c>
      <c r="C110" t="s">
        <v>182</v>
      </c>
      <c r="D110" t="s">
        <v>193</v>
      </c>
      <c r="E110" t="s">
        <v>55</v>
      </c>
      <c r="F110">
        <v>10</v>
      </c>
      <c r="G110">
        <v>0</v>
      </c>
      <c r="H110">
        <v>0</v>
      </c>
      <c r="I110">
        <v>10</v>
      </c>
      <c r="J110">
        <v>0</v>
      </c>
      <c r="K110">
        <v>10</v>
      </c>
      <c r="L110">
        <v>72</v>
      </c>
      <c r="M110">
        <v>2</v>
      </c>
      <c r="N110">
        <v>2</v>
      </c>
      <c r="O110">
        <v>0</v>
      </c>
      <c r="P110">
        <v>6</v>
      </c>
      <c r="Q110">
        <v>6</v>
      </c>
      <c r="R110">
        <v>5</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32</v>
      </c>
      <c r="AO110">
        <v>0</v>
      </c>
      <c r="AP110">
        <v>0</v>
      </c>
      <c r="AQ110">
        <v>0</v>
      </c>
      <c r="AR110">
        <v>0</v>
      </c>
      <c r="AS110">
        <v>0</v>
      </c>
      <c r="AT110">
        <v>0</v>
      </c>
      <c r="AU110">
        <v>0</v>
      </c>
      <c r="AV110">
        <v>5</v>
      </c>
      <c r="AW110">
        <v>0</v>
      </c>
      <c r="AX110">
        <v>0</v>
      </c>
      <c r="AY110">
        <v>0</v>
      </c>
    </row>
    <row r="111" spans="1:51" x14ac:dyDescent="0.3">
      <c r="A111" t="s">
        <v>181</v>
      </c>
      <c r="B111" t="s">
        <v>52</v>
      </c>
      <c r="C111" t="s">
        <v>194</v>
      </c>
      <c r="D111" t="s">
        <v>195</v>
      </c>
      <c r="E111" t="s">
        <v>55</v>
      </c>
      <c r="F111">
        <v>16</v>
      </c>
      <c r="G111">
        <v>0</v>
      </c>
      <c r="H111">
        <v>0</v>
      </c>
      <c r="I111">
        <v>16</v>
      </c>
      <c r="J111">
        <v>0</v>
      </c>
      <c r="K111">
        <v>16</v>
      </c>
      <c r="L111">
        <v>93</v>
      </c>
      <c r="M111">
        <v>5</v>
      </c>
      <c r="N111">
        <v>3</v>
      </c>
      <c r="O111">
        <v>0</v>
      </c>
      <c r="P111">
        <v>20</v>
      </c>
      <c r="Q111">
        <v>20</v>
      </c>
      <c r="R111">
        <v>15</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7</v>
      </c>
      <c r="AW111">
        <v>0</v>
      </c>
      <c r="AX111">
        <v>0</v>
      </c>
      <c r="AY111">
        <v>0</v>
      </c>
    </row>
    <row r="112" spans="1:51" x14ac:dyDescent="0.3">
      <c r="A112" t="s">
        <v>181</v>
      </c>
      <c r="B112" t="s">
        <v>52</v>
      </c>
      <c r="C112" t="s">
        <v>194</v>
      </c>
      <c r="D112" t="s">
        <v>196</v>
      </c>
      <c r="E112" t="s">
        <v>55</v>
      </c>
      <c r="F112">
        <v>12</v>
      </c>
      <c r="G112">
        <v>0</v>
      </c>
      <c r="H112">
        <v>0</v>
      </c>
      <c r="I112">
        <v>12</v>
      </c>
      <c r="J112">
        <v>0</v>
      </c>
      <c r="K112">
        <v>12</v>
      </c>
      <c r="L112">
        <v>48</v>
      </c>
      <c r="M112">
        <v>0</v>
      </c>
      <c r="N112">
        <v>0</v>
      </c>
      <c r="O112">
        <v>0</v>
      </c>
      <c r="P112">
        <v>9</v>
      </c>
      <c r="Q112">
        <v>9</v>
      </c>
      <c r="R112">
        <v>10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4</v>
      </c>
      <c r="AW112">
        <v>0</v>
      </c>
      <c r="AX112">
        <v>0</v>
      </c>
      <c r="AY112">
        <v>0</v>
      </c>
    </row>
    <row r="113" spans="1:51" x14ac:dyDescent="0.3">
      <c r="A113" t="s">
        <v>181</v>
      </c>
      <c r="B113" t="s">
        <v>52</v>
      </c>
      <c r="C113" t="s">
        <v>197</v>
      </c>
      <c r="D113" t="s">
        <v>198</v>
      </c>
      <c r="E113" t="s">
        <v>55</v>
      </c>
      <c r="F113">
        <v>19</v>
      </c>
      <c r="G113">
        <v>0</v>
      </c>
      <c r="H113">
        <v>0</v>
      </c>
      <c r="I113">
        <v>18</v>
      </c>
      <c r="J113">
        <v>0</v>
      </c>
      <c r="K113">
        <v>19</v>
      </c>
      <c r="L113">
        <v>116</v>
      </c>
      <c r="M113">
        <v>2</v>
      </c>
      <c r="N113">
        <v>2</v>
      </c>
      <c r="O113">
        <v>1</v>
      </c>
      <c r="P113">
        <v>11</v>
      </c>
      <c r="Q113">
        <v>11</v>
      </c>
      <c r="R113">
        <v>15</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2</v>
      </c>
      <c r="AO113">
        <v>0</v>
      </c>
      <c r="AP113">
        <v>0</v>
      </c>
      <c r="AQ113">
        <v>0</v>
      </c>
      <c r="AR113">
        <v>0</v>
      </c>
      <c r="AS113">
        <v>0</v>
      </c>
      <c r="AT113">
        <v>0</v>
      </c>
      <c r="AU113">
        <v>0</v>
      </c>
      <c r="AV113">
        <v>6</v>
      </c>
      <c r="AW113">
        <v>0</v>
      </c>
      <c r="AX113">
        <v>0</v>
      </c>
      <c r="AY113">
        <v>0</v>
      </c>
    </row>
    <row r="114" spans="1:51" x14ac:dyDescent="0.3">
      <c r="A114" t="s">
        <v>181</v>
      </c>
      <c r="B114" t="s">
        <v>52</v>
      </c>
      <c r="C114" t="s">
        <v>197</v>
      </c>
      <c r="D114" t="s">
        <v>199</v>
      </c>
      <c r="E114" t="s">
        <v>55</v>
      </c>
      <c r="F114">
        <v>33</v>
      </c>
      <c r="G114">
        <v>0</v>
      </c>
      <c r="H114">
        <v>0</v>
      </c>
      <c r="I114">
        <v>33</v>
      </c>
      <c r="J114">
        <v>0</v>
      </c>
      <c r="K114">
        <v>29</v>
      </c>
      <c r="L114">
        <v>148</v>
      </c>
      <c r="M114">
        <v>4</v>
      </c>
      <c r="N114">
        <v>6</v>
      </c>
      <c r="O114">
        <v>1</v>
      </c>
      <c r="P114">
        <v>25</v>
      </c>
      <c r="Q114">
        <v>25</v>
      </c>
      <c r="R114">
        <v>26</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7</v>
      </c>
      <c r="AW114">
        <v>0</v>
      </c>
      <c r="AX114">
        <v>0</v>
      </c>
      <c r="AY114">
        <v>0</v>
      </c>
    </row>
    <row r="115" spans="1:51" x14ac:dyDescent="0.3">
      <c r="A115" t="s">
        <v>181</v>
      </c>
      <c r="B115" t="s">
        <v>52</v>
      </c>
      <c r="C115" t="s">
        <v>190</v>
      </c>
      <c r="D115" t="s">
        <v>200</v>
      </c>
      <c r="E115" t="s">
        <v>55</v>
      </c>
      <c r="F115">
        <v>47</v>
      </c>
      <c r="G115">
        <v>0</v>
      </c>
      <c r="H115">
        <v>0</v>
      </c>
      <c r="I115">
        <v>47</v>
      </c>
      <c r="J115">
        <v>0</v>
      </c>
      <c r="K115">
        <v>44</v>
      </c>
      <c r="L115">
        <v>243</v>
      </c>
      <c r="M115">
        <v>13</v>
      </c>
      <c r="N115">
        <v>18</v>
      </c>
      <c r="O115">
        <v>2</v>
      </c>
      <c r="P115">
        <v>41</v>
      </c>
      <c r="Q115">
        <v>41</v>
      </c>
      <c r="R115">
        <v>51</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18</v>
      </c>
      <c r="AW115">
        <v>0</v>
      </c>
      <c r="AX115">
        <v>0</v>
      </c>
      <c r="AY115">
        <v>0</v>
      </c>
    </row>
    <row r="116" spans="1:51" x14ac:dyDescent="0.3">
      <c r="A116" t="s">
        <v>181</v>
      </c>
      <c r="B116" t="s">
        <v>52</v>
      </c>
      <c r="C116" t="s">
        <v>188</v>
      </c>
      <c r="D116" t="s">
        <v>201</v>
      </c>
      <c r="E116" t="s">
        <v>55</v>
      </c>
      <c r="F116">
        <v>34</v>
      </c>
      <c r="G116">
        <v>0</v>
      </c>
      <c r="H116">
        <v>0</v>
      </c>
      <c r="I116">
        <v>34</v>
      </c>
      <c r="J116">
        <v>0</v>
      </c>
      <c r="K116">
        <v>33</v>
      </c>
      <c r="L116">
        <v>233</v>
      </c>
      <c r="M116">
        <v>3</v>
      </c>
      <c r="N116">
        <v>5</v>
      </c>
      <c r="O116">
        <v>0</v>
      </c>
      <c r="P116">
        <v>30</v>
      </c>
      <c r="Q116">
        <v>28</v>
      </c>
      <c r="R116">
        <v>24</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row>
    <row r="117" spans="1:51" x14ac:dyDescent="0.3">
      <c r="A117" t="s">
        <v>181</v>
      </c>
      <c r="B117" t="s">
        <v>52</v>
      </c>
      <c r="C117" t="s">
        <v>197</v>
      </c>
      <c r="D117" t="s">
        <v>202</v>
      </c>
      <c r="E117" t="s">
        <v>55</v>
      </c>
      <c r="F117">
        <v>45</v>
      </c>
      <c r="G117">
        <v>0</v>
      </c>
      <c r="H117">
        <v>0</v>
      </c>
      <c r="I117">
        <v>45</v>
      </c>
      <c r="J117">
        <v>0</v>
      </c>
      <c r="K117">
        <v>44</v>
      </c>
      <c r="L117">
        <v>237</v>
      </c>
      <c r="M117">
        <v>5</v>
      </c>
      <c r="N117">
        <v>5</v>
      </c>
      <c r="O117">
        <v>0</v>
      </c>
      <c r="P117">
        <v>22</v>
      </c>
      <c r="Q117">
        <v>22</v>
      </c>
      <c r="R117">
        <v>19</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12</v>
      </c>
      <c r="AW117">
        <v>0</v>
      </c>
      <c r="AX117">
        <v>0</v>
      </c>
      <c r="AY117">
        <v>0</v>
      </c>
    </row>
    <row r="118" spans="1:51" x14ac:dyDescent="0.3">
      <c r="A118" t="s">
        <v>181</v>
      </c>
      <c r="B118" t="s">
        <v>52</v>
      </c>
      <c r="C118" t="s">
        <v>194</v>
      </c>
      <c r="D118" t="s">
        <v>203</v>
      </c>
      <c r="E118" t="s">
        <v>55</v>
      </c>
      <c r="F118">
        <v>17</v>
      </c>
      <c r="G118">
        <v>0</v>
      </c>
      <c r="H118">
        <v>0</v>
      </c>
      <c r="I118">
        <v>17</v>
      </c>
      <c r="J118">
        <v>0</v>
      </c>
      <c r="K118">
        <v>15</v>
      </c>
      <c r="L118">
        <v>103</v>
      </c>
      <c r="M118">
        <v>1</v>
      </c>
      <c r="N118">
        <v>6</v>
      </c>
      <c r="O118">
        <v>1</v>
      </c>
      <c r="P118">
        <v>18</v>
      </c>
      <c r="Q118">
        <v>18</v>
      </c>
      <c r="R118">
        <v>17</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6</v>
      </c>
      <c r="AW118">
        <v>0</v>
      </c>
      <c r="AX118">
        <v>0</v>
      </c>
      <c r="AY118">
        <v>0</v>
      </c>
    </row>
    <row r="119" spans="1:51" x14ac:dyDescent="0.3">
      <c r="A119" t="s">
        <v>181</v>
      </c>
      <c r="B119" t="s">
        <v>52</v>
      </c>
      <c r="C119" t="s">
        <v>197</v>
      </c>
      <c r="D119" t="s">
        <v>204</v>
      </c>
      <c r="E119" t="s">
        <v>55</v>
      </c>
      <c r="F119">
        <v>41</v>
      </c>
      <c r="G119">
        <v>0</v>
      </c>
      <c r="H119">
        <v>0</v>
      </c>
      <c r="I119">
        <v>41</v>
      </c>
      <c r="J119">
        <v>0</v>
      </c>
      <c r="K119">
        <v>39</v>
      </c>
      <c r="L119">
        <v>207</v>
      </c>
      <c r="M119">
        <v>0</v>
      </c>
      <c r="N119">
        <v>2</v>
      </c>
      <c r="O119">
        <v>0</v>
      </c>
      <c r="P119">
        <v>35</v>
      </c>
      <c r="Q119">
        <v>35</v>
      </c>
      <c r="R119">
        <v>16</v>
      </c>
      <c r="S119">
        <v>0</v>
      </c>
      <c r="T119">
        <v>0</v>
      </c>
      <c r="U119">
        <v>0</v>
      </c>
      <c r="V119">
        <v>0</v>
      </c>
      <c r="W119">
        <v>0</v>
      </c>
      <c r="X119">
        <v>0</v>
      </c>
      <c r="Y119">
        <v>20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22</v>
      </c>
      <c r="AW119">
        <v>0</v>
      </c>
      <c r="AX119">
        <v>0</v>
      </c>
      <c r="AY119">
        <v>0</v>
      </c>
    </row>
    <row r="120" spans="1:51" x14ac:dyDescent="0.3">
      <c r="A120" t="s">
        <v>181</v>
      </c>
      <c r="B120" t="s">
        <v>52</v>
      </c>
      <c r="C120" t="s">
        <v>197</v>
      </c>
      <c r="D120" t="s">
        <v>205</v>
      </c>
      <c r="E120" t="s">
        <v>55</v>
      </c>
      <c r="F120">
        <v>48</v>
      </c>
      <c r="G120">
        <v>0</v>
      </c>
      <c r="H120">
        <v>0</v>
      </c>
      <c r="I120">
        <v>48</v>
      </c>
      <c r="J120">
        <v>0</v>
      </c>
      <c r="K120">
        <v>47</v>
      </c>
      <c r="L120">
        <v>282</v>
      </c>
      <c r="M120">
        <v>10</v>
      </c>
      <c r="N120">
        <v>11</v>
      </c>
      <c r="O120">
        <v>0</v>
      </c>
      <c r="P120">
        <v>48</v>
      </c>
      <c r="Q120">
        <v>48</v>
      </c>
      <c r="R120">
        <v>22</v>
      </c>
      <c r="S120">
        <v>3</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8</v>
      </c>
      <c r="AW120">
        <v>0</v>
      </c>
      <c r="AX120">
        <v>0</v>
      </c>
      <c r="AY120">
        <v>0</v>
      </c>
    </row>
    <row r="121" spans="1:51" x14ac:dyDescent="0.3">
      <c r="A121" t="s">
        <v>181</v>
      </c>
      <c r="B121" t="s">
        <v>52</v>
      </c>
      <c r="C121" t="s">
        <v>197</v>
      </c>
      <c r="D121" t="s">
        <v>206</v>
      </c>
      <c r="E121" t="s">
        <v>55</v>
      </c>
      <c r="F121">
        <v>32</v>
      </c>
      <c r="G121">
        <v>0</v>
      </c>
      <c r="H121">
        <v>0</v>
      </c>
      <c r="I121">
        <v>32</v>
      </c>
      <c r="J121">
        <v>0</v>
      </c>
      <c r="K121">
        <v>31</v>
      </c>
      <c r="L121">
        <v>125</v>
      </c>
      <c r="M121">
        <v>0</v>
      </c>
      <c r="N121">
        <v>0</v>
      </c>
      <c r="O121">
        <v>0</v>
      </c>
      <c r="P121">
        <v>21</v>
      </c>
      <c r="Q121">
        <v>21</v>
      </c>
      <c r="R121">
        <v>11</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7</v>
      </c>
      <c r="AW121">
        <v>0</v>
      </c>
      <c r="AX121">
        <v>0</v>
      </c>
      <c r="AY121">
        <v>0</v>
      </c>
    </row>
    <row r="122" spans="1:51" x14ac:dyDescent="0.3">
      <c r="A122" t="s">
        <v>181</v>
      </c>
      <c r="B122" t="s">
        <v>52</v>
      </c>
      <c r="C122" t="s">
        <v>197</v>
      </c>
      <c r="D122" t="s">
        <v>207</v>
      </c>
      <c r="E122" t="s">
        <v>55</v>
      </c>
      <c r="F122">
        <v>53</v>
      </c>
      <c r="G122">
        <v>0</v>
      </c>
      <c r="H122">
        <v>0</v>
      </c>
      <c r="I122">
        <v>53</v>
      </c>
      <c r="J122">
        <v>0</v>
      </c>
      <c r="K122">
        <v>52</v>
      </c>
      <c r="L122">
        <v>335</v>
      </c>
      <c r="M122">
        <v>4</v>
      </c>
      <c r="N122">
        <v>5</v>
      </c>
      <c r="O122">
        <v>0</v>
      </c>
      <c r="P122">
        <v>55</v>
      </c>
      <c r="Q122">
        <v>55</v>
      </c>
      <c r="R122">
        <v>26</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1</v>
      </c>
      <c r="AO122">
        <v>0</v>
      </c>
      <c r="AP122">
        <v>0</v>
      </c>
      <c r="AQ122">
        <v>0</v>
      </c>
      <c r="AR122">
        <v>0</v>
      </c>
      <c r="AS122">
        <v>0</v>
      </c>
      <c r="AT122">
        <v>0</v>
      </c>
      <c r="AU122">
        <v>0</v>
      </c>
      <c r="AV122">
        <v>29</v>
      </c>
      <c r="AW122">
        <v>0</v>
      </c>
      <c r="AX122">
        <v>0</v>
      </c>
      <c r="AY122">
        <v>0</v>
      </c>
    </row>
    <row r="123" spans="1:51" x14ac:dyDescent="0.3">
      <c r="A123" t="s">
        <v>181</v>
      </c>
      <c r="B123" t="s">
        <v>52</v>
      </c>
      <c r="C123" t="s">
        <v>188</v>
      </c>
      <c r="D123" t="s">
        <v>208</v>
      </c>
      <c r="E123" t="s">
        <v>55</v>
      </c>
      <c r="F123">
        <v>34</v>
      </c>
      <c r="G123">
        <v>0</v>
      </c>
      <c r="H123">
        <v>0</v>
      </c>
      <c r="I123">
        <v>33</v>
      </c>
      <c r="J123">
        <v>0</v>
      </c>
      <c r="K123">
        <v>31</v>
      </c>
      <c r="L123">
        <v>161</v>
      </c>
      <c r="M123">
        <v>0</v>
      </c>
      <c r="N123">
        <v>0</v>
      </c>
      <c r="O123">
        <v>0</v>
      </c>
      <c r="P123">
        <v>27</v>
      </c>
      <c r="Q123">
        <v>27</v>
      </c>
      <c r="R123">
        <v>25</v>
      </c>
      <c r="S123">
        <v>0</v>
      </c>
      <c r="T123">
        <v>0</v>
      </c>
      <c r="U123">
        <v>0</v>
      </c>
      <c r="V123">
        <v>0</v>
      </c>
      <c r="W123">
        <v>0</v>
      </c>
      <c r="X123">
        <v>4</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row>
    <row r="124" spans="1:51" x14ac:dyDescent="0.3">
      <c r="A124" t="s">
        <v>181</v>
      </c>
      <c r="B124" t="s">
        <v>52</v>
      </c>
      <c r="C124" t="s">
        <v>188</v>
      </c>
      <c r="D124" t="s">
        <v>209</v>
      </c>
      <c r="E124" t="s">
        <v>55</v>
      </c>
      <c r="F124">
        <v>22</v>
      </c>
      <c r="G124">
        <v>0</v>
      </c>
      <c r="H124">
        <v>0</v>
      </c>
      <c r="I124">
        <v>22</v>
      </c>
      <c r="J124">
        <v>0</v>
      </c>
      <c r="K124">
        <v>21</v>
      </c>
      <c r="L124">
        <v>133</v>
      </c>
      <c r="M124">
        <v>0</v>
      </c>
      <c r="N124">
        <v>0</v>
      </c>
      <c r="O124">
        <v>0</v>
      </c>
      <c r="P124">
        <v>19</v>
      </c>
      <c r="Q124">
        <v>19</v>
      </c>
      <c r="R124">
        <v>22</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row>
    <row r="125" spans="1:51" x14ac:dyDescent="0.3">
      <c r="A125" t="s">
        <v>181</v>
      </c>
      <c r="B125" t="s">
        <v>52</v>
      </c>
      <c r="C125" t="s">
        <v>190</v>
      </c>
      <c r="D125" t="s">
        <v>210</v>
      </c>
      <c r="E125" t="s">
        <v>55</v>
      </c>
      <c r="F125">
        <v>57</v>
      </c>
      <c r="G125">
        <v>0</v>
      </c>
      <c r="H125">
        <v>0</v>
      </c>
      <c r="I125">
        <v>57</v>
      </c>
      <c r="J125">
        <v>0</v>
      </c>
      <c r="K125">
        <v>56</v>
      </c>
      <c r="L125">
        <v>395</v>
      </c>
      <c r="M125">
        <v>0</v>
      </c>
      <c r="N125">
        <v>0</v>
      </c>
      <c r="O125">
        <v>0</v>
      </c>
      <c r="P125">
        <v>45</v>
      </c>
      <c r="Q125">
        <v>45</v>
      </c>
      <c r="R125">
        <v>51</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20</v>
      </c>
      <c r="AW125">
        <v>0</v>
      </c>
      <c r="AX125">
        <v>0</v>
      </c>
      <c r="AY125">
        <v>0</v>
      </c>
    </row>
    <row r="126" spans="1:51" x14ac:dyDescent="0.3">
      <c r="A126" t="s">
        <v>181</v>
      </c>
      <c r="B126" t="s">
        <v>52</v>
      </c>
      <c r="C126" t="s">
        <v>188</v>
      </c>
      <c r="D126" t="s">
        <v>211</v>
      </c>
      <c r="E126" t="s">
        <v>55</v>
      </c>
      <c r="F126">
        <v>31</v>
      </c>
      <c r="G126">
        <v>0</v>
      </c>
      <c r="H126">
        <v>0</v>
      </c>
      <c r="I126">
        <v>31</v>
      </c>
      <c r="J126">
        <v>0</v>
      </c>
      <c r="K126">
        <v>27</v>
      </c>
      <c r="L126">
        <v>171</v>
      </c>
      <c r="M126">
        <v>4</v>
      </c>
      <c r="N126">
        <v>2</v>
      </c>
      <c r="O126">
        <v>2</v>
      </c>
      <c r="P126">
        <v>30</v>
      </c>
      <c r="Q126">
        <v>28</v>
      </c>
      <c r="R126">
        <v>30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row>
    <row r="127" spans="1:51" x14ac:dyDescent="0.3">
      <c r="A127" t="s">
        <v>181</v>
      </c>
      <c r="B127" t="s">
        <v>52</v>
      </c>
      <c r="C127" t="s">
        <v>182</v>
      </c>
      <c r="D127" t="s">
        <v>212</v>
      </c>
      <c r="E127" t="s">
        <v>55</v>
      </c>
      <c r="F127">
        <v>14</v>
      </c>
      <c r="G127">
        <v>0</v>
      </c>
      <c r="H127">
        <v>0</v>
      </c>
      <c r="I127">
        <v>14</v>
      </c>
      <c r="J127">
        <v>0</v>
      </c>
      <c r="K127">
        <v>13</v>
      </c>
      <c r="L127">
        <v>69</v>
      </c>
      <c r="M127">
        <v>0</v>
      </c>
      <c r="N127">
        <v>0</v>
      </c>
      <c r="O127">
        <v>0</v>
      </c>
      <c r="P127">
        <v>8</v>
      </c>
      <c r="Q127">
        <v>8</v>
      </c>
      <c r="R127">
        <v>10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40</v>
      </c>
      <c r="AO127">
        <v>0</v>
      </c>
      <c r="AP127">
        <v>0</v>
      </c>
      <c r="AQ127">
        <v>0</v>
      </c>
      <c r="AR127">
        <v>0</v>
      </c>
      <c r="AS127">
        <v>0</v>
      </c>
      <c r="AT127">
        <v>0</v>
      </c>
      <c r="AU127">
        <v>0</v>
      </c>
      <c r="AV127">
        <v>5</v>
      </c>
      <c r="AW127">
        <v>0</v>
      </c>
      <c r="AX127">
        <v>0</v>
      </c>
      <c r="AY127">
        <v>0</v>
      </c>
    </row>
    <row r="128" spans="1:51" x14ac:dyDescent="0.3">
      <c r="A128" t="s">
        <v>181</v>
      </c>
      <c r="B128" t="s">
        <v>52</v>
      </c>
      <c r="C128" t="s">
        <v>182</v>
      </c>
      <c r="D128" t="s">
        <v>213</v>
      </c>
      <c r="E128" t="s">
        <v>55</v>
      </c>
      <c r="F128">
        <v>27</v>
      </c>
      <c r="G128">
        <v>0</v>
      </c>
      <c r="H128">
        <v>0</v>
      </c>
      <c r="I128">
        <v>27</v>
      </c>
      <c r="J128">
        <v>0</v>
      </c>
      <c r="K128">
        <v>25</v>
      </c>
      <c r="L128">
        <v>130</v>
      </c>
      <c r="M128">
        <v>0</v>
      </c>
      <c r="N128">
        <v>0</v>
      </c>
      <c r="O128">
        <v>0</v>
      </c>
      <c r="P128">
        <v>18</v>
      </c>
      <c r="Q128">
        <v>18</v>
      </c>
      <c r="R128">
        <v>22</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67</v>
      </c>
      <c r="AO128">
        <v>0</v>
      </c>
      <c r="AP128">
        <v>0</v>
      </c>
      <c r="AQ128">
        <v>0</v>
      </c>
      <c r="AR128">
        <v>0</v>
      </c>
      <c r="AS128">
        <v>0</v>
      </c>
      <c r="AT128">
        <v>0</v>
      </c>
      <c r="AU128">
        <v>0</v>
      </c>
      <c r="AV128">
        <v>10</v>
      </c>
      <c r="AW128">
        <v>0</v>
      </c>
      <c r="AX128">
        <v>0</v>
      </c>
      <c r="AY128">
        <v>0</v>
      </c>
    </row>
    <row r="129" spans="1:51" x14ac:dyDescent="0.3">
      <c r="A129" t="s">
        <v>181</v>
      </c>
      <c r="B129" t="s">
        <v>52</v>
      </c>
      <c r="C129" t="s">
        <v>190</v>
      </c>
      <c r="D129" t="s">
        <v>214</v>
      </c>
      <c r="E129" t="s">
        <v>55</v>
      </c>
      <c r="F129">
        <v>83</v>
      </c>
      <c r="G129">
        <v>0</v>
      </c>
      <c r="H129">
        <v>0</v>
      </c>
      <c r="I129">
        <v>83</v>
      </c>
      <c r="J129">
        <v>0</v>
      </c>
      <c r="K129">
        <v>79</v>
      </c>
      <c r="L129">
        <v>499</v>
      </c>
      <c r="M129">
        <v>13</v>
      </c>
      <c r="N129">
        <v>9</v>
      </c>
      <c r="O129">
        <v>3</v>
      </c>
      <c r="P129">
        <v>79</v>
      </c>
      <c r="Q129">
        <v>79</v>
      </c>
      <c r="R129">
        <v>80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29</v>
      </c>
      <c r="AW129">
        <v>0</v>
      </c>
      <c r="AX129">
        <v>0</v>
      </c>
      <c r="AY129">
        <v>0</v>
      </c>
    </row>
    <row r="130" spans="1:51" x14ac:dyDescent="0.3">
      <c r="A130" t="s">
        <v>181</v>
      </c>
      <c r="B130" t="s">
        <v>52</v>
      </c>
      <c r="C130" t="s">
        <v>215</v>
      </c>
      <c r="D130" t="s">
        <v>216</v>
      </c>
      <c r="E130" t="s">
        <v>55</v>
      </c>
      <c r="F130">
        <v>44</v>
      </c>
      <c r="G130">
        <v>0</v>
      </c>
      <c r="H130">
        <v>0</v>
      </c>
      <c r="I130">
        <v>44</v>
      </c>
      <c r="J130">
        <v>0</v>
      </c>
      <c r="K130">
        <v>35</v>
      </c>
      <c r="L130">
        <v>206</v>
      </c>
      <c r="M130">
        <v>1</v>
      </c>
      <c r="N130">
        <v>1</v>
      </c>
      <c r="O130">
        <v>0</v>
      </c>
      <c r="P130">
        <v>40</v>
      </c>
      <c r="Q130">
        <v>40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1</v>
      </c>
      <c r="AW130">
        <v>0</v>
      </c>
      <c r="AX130">
        <v>0</v>
      </c>
      <c r="AY130">
        <v>0</v>
      </c>
    </row>
    <row r="131" spans="1:51" x14ac:dyDescent="0.3">
      <c r="A131" t="s">
        <v>181</v>
      </c>
      <c r="B131" t="s">
        <v>52</v>
      </c>
      <c r="C131" t="s">
        <v>182</v>
      </c>
      <c r="D131" t="s">
        <v>217</v>
      </c>
      <c r="E131" t="s">
        <v>55</v>
      </c>
      <c r="F131">
        <v>17</v>
      </c>
      <c r="G131">
        <v>0</v>
      </c>
      <c r="H131">
        <v>0</v>
      </c>
      <c r="I131">
        <v>17</v>
      </c>
      <c r="J131">
        <v>0</v>
      </c>
      <c r="K131">
        <v>17</v>
      </c>
      <c r="L131">
        <v>110</v>
      </c>
      <c r="M131">
        <v>1</v>
      </c>
      <c r="N131">
        <v>1</v>
      </c>
      <c r="O131">
        <v>0</v>
      </c>
      <c r="P131">
        <v>20</v>
      </c>
      <c r="Q131">
        <v>20</v>
      </c>
      <c r="R131">
        <v>11</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55</v>
      </c>
      <c r="AO131">
        <v>1</v>
      </c>
      <c r="AP131">
        <v>1</v>
      </c>
      <c r="AQ131">
        <v>0</v>
      </c>
      <c r="AR131">
        <v>0</v>
      </c>
      <c r="AS131">
        <v>0</v>
      </c>
      <c r="AT131">
        <v>0</v>
      </c>
      <c r="AU131">
        <v>0</v>
      </c>
      <c r="AV131">
        <v>2</v>
      </c>
      <c r="AW131">
        <v>0</v>
      </c>
      <c r="AX131">
        <v>0</v>
      </c>
      <c r="AY131">
        <v>0</v>
      </c>
    </row>
    <row r="132" spans="1:51" x14ac:dyDescent="0.3">
      <c r="A132" t="s">
        <v>181</v>
      </c>
      <c r="B132" t="s">
        <v>52</v>
      </c>
      <c r="C132" t="s">
        <v>215</v>
      </c>
      <c r="D132" t="s">
        <v>218</v>
      </c>
      <c r="E132" t="s">
        <v>55</v>
      </c>
      <c r="F132">
        <v>174</v>
      </c>
      <c r="G132">
        <v>0</v>
      </c>
      <c r="H132">
        <v>0</v>
      </c>
      <c r="I132">
        <v>174</v>
      </c>
      <c r="J132">
        <v>0</v>
      </c>
      <c r="K132">
        <v>164</v>
      </c>
      <c r="L132">
        <v>636</v>
      </c>
      <c r="M132">
        <v>0</v>
      </c>
      <c r="N132">
        <v>0</v>
      </c>
      <c r="O132">
        <v>0</v>
      </c>
      <c r="P132">
        <v>2</v>
      </c>
      <c r="Q132">
        <v>2</v>
      </c>
      <c r="R132">
        <v>0</v>
      </c>
      <c r="S132">
        <v>0</v>
      </c>
      <c r="T132">
        <v>0</v>
      </c>
      <c r="U132">
        <v>0</v>
      </c>
      <c r="V132">
        <v>0</v>
      </c>
      <c r="W132">
        <v>0</v>
      </c>
      <c r="X132">
        <v>0</v>
      </c>
      <c r="Y132">
        <v>0</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50</v>
      </c>
      <c r="AW132">
        <v>0</v>
      </c>
      <c r="AX132">
        <v>0</v>
      </c>
      <c r="AY132">
        <v>0</v>
      </c>
    </row>
    <row r="133" spans="1:51" x14ac:dyDescent="0.3">
      <c r="A133" t="s">
        <v>181</v>
      </c>
      <c r="B133" t="s">
        <v>52</v>
      </c>
      <c r="C133" t="s">
        <v>215</v>
      </c>
      <c r="D133" t="s">
        <v>219</v>
      </c>
      <c r="E133" t="s">
        <v>55</v>
      </c>
      <c r="F133">
        <v>100</v>
      </c>
      <c r="G133">
        <v>0</v>
      </c>
      <c r="H133">
        <v>0</v>
      </c>
      <c r="I133">
        <v>100</v>
      </c>
      <c r="J133">
        <v>0</v>
      </c>
      <c r="K133">
        <v>98</v>
      </c>
      <c r="L133">
        <v>495</v>
      </c>
      <c r="M133">
        <v>24</v>
      </c>
      <c r="N133">
        <v>22</v>
      </c>
      <c r="O133">
        <v>7</v>
      </c>
      <c r="P133">
        <v>105</v>
      </c>
      <c r="Q133">
        <v>105</v>
      </c>
      <c r="R133">
        <v>2</v>
      </c>
      <c r="S133">
        <v>0</v>
      </c>
      <c r="T133">
        <v>0</v>
      </c>
      <c r="U133">
        <v>0</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53</v>
      </c>
      <c r="AW133">
        <v>0</v>
      </c>
      <c r="AX133">
        <v>0</v>
      </c>
      <c r="AY133">
        <v>0</v>
      </c>
    </row>
    <row r="134" spans="1:51" x14ac:dyDescent="0.3">
      <c r="A134" t="s">
        <v>181</v>
      </c>
      <c r="B134" t="s">
        <v>52</v>
      </c>
      <c r="C134" t="s">
        <v>184</v>
      </c>
      <c r="D134" t="s">
        <v>220</v>
      </c>
      <c r="E134" t="s">
        <v>55</v>
      </c>
      <c r="F134">
        <v>41</v>
      </c>
      <c r="G134">
        <v>0</v>
      </c>
      <c r="H134">
        <v>0</v>
      </c>
      <c r="I134">
        <v>41</v>
      </c>
      <c r="J134">
        <v>0</v>
      </c>
      <c r="K134">
        <v>41</v>
      </c>
      <c r="L134">
        <v>163</v>
      </c>
      <c r="M134">
        <v>3</v>
      </c>
      <c r="N134">
        <v>6</v>
      </c>
      <c r="O134">
        <v>1</v>
      </c>
      <c r="P134">
        <v>14</v>
      </c>
      <c r="Q134">
        <v>14</v>
      </c>
      <c r="R134">
        <v>14</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1</v>
      </c>
      <c r="AO134">
        <v>0</v>
      </c>
      <c r="AP134">
        <v>0</v>
      </c>
      <c r="AQ134">
        <v>0</v>
      </c>
      <c r="AR134">
        <v>0</v>
      </c>
      <c r="AS134">
        <v>0</v>
      </c>
      <c r="AT134">
        <v>0</v>
      </c>
      <c r="AU134">
        <v>0</v>
      </c>
      <c r="AV134">
        <v>11</v>
      </c>
      <c r="AW134">
        <v>0</v>
      </c>
      <c r="AX134">
        <v>0</v>
      </c>
      <c r="AY134">
        <v>0</v>
      </c>
    </row>
    <row r="135" spans="1:51" x14ac:dyDescent="0.3">
      <c r="A135" t="s">
        <v>181</v>
      </c>
      <c r="B135" t="s">
        <v>52</v>
      </c>
      <c r="C135" t="s">
        <v>190</v>
      </c>
      <c r="D135" t="s">
        <v>221</v>
      </c>
      <c r="E135" t="s">
        <v>55</v>
      </c>
      <c r="F135">
        <v>33</v>
      </c>
      <c r="G135">
        <v>0</v>
      </c>
      <c r="H135">
        <v>0</v>
      </c>
      <c r="I135">
        <v>33</v>
      </c>
      <c r="J135">
        <v>0</v>
      </c>
      <c r="K135">
        <v>32</v>
      </c>
      <c r="L135">
        <v>129</v>
      </c>
      <c r="M135">
        <v>7</v>
      </c>
      <c r="N135">
        <v>5</v>
      </c>
      <c r="O135">
        <v>1</v>
      </c>
      <c r="P135">
        <v>22</v>
      </c>
      <c r="Q135">
        <v>22</v>
      </c>
      <c r="R135">
        <v>36</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6</v>
      </c>
      <c r="AW135">
        <v>0</v>
      </c>
      <c r="AX135">
        <v>0</v>
      </c>
      <c r="AY135">
        <v>0</v>
      </c>
    </row>
    <row r="136" spans="1:51" x14ac:dyDescent="0.3">
      <c r="A136" t="s">
        <v>181</v>
      </c>
      <c r="B136" t="s">
        <v>52</v>
      </c>
      <c r="C136" t="s">
        <v>197</v>
      </c>
      <c r="D136" t="s">
        <v>222</v>
      </c>
      <c r="E136" t="s">
        <v>55</v>
      </c>
      <c r="F136">
        <v>30</v>
      </c>
      <c r="G136">
        <v>0</v>
      </c>
      <c r="H136">
        <v>0</v>
      </c>
      <c r="I136">
        <v>30</v>
      </c>
      <c r="J136">
        <v>0</v>
      </c>
      <c r="K136">
        <v>24</v>
      </c>
      <c r="L136">
        <v>149</v>
      </c>
      <c r="M136">
        <v>1</v>
      </c>
      <c r="N136">
        <v>2</v>
      </c>
      <c r="O136">
        <v>0</v>
      </c>
      <c r="P136">
        <v>23</v>
      </c>
      <c r="Q136">
        <v>23</v>
      </c>
      <c r="R136">
        <v>27</v>
      </c>
      <c r="S136">
        <v>0</v>
      </c>
      <c r="T136">
        <v>0</v>
      </c>
      <c r="U136">
        <v>0</v>
      </c>
      <c r="V136">
        <v>0</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10</v>
      </c>
      <c r="AW136">
        <v>0</v>
      </c>
      <c r="AX136">
        <v>0</v>
      </c>
      <c r="AY136">
        <v>0</v>
      </c>
    </row>
    <row r="137" spans="1:51" x14ac:dyDescent="0.3">
      <c r="A137" t="s">
        <v>181</v>
      </c>
      <c r="B137" t="s">
        <v>52</v>
      </c>
      <c r="C137" t="s">
        <v>184</v>
      </c>
      <c r="D137" t="s">
        <v>223</v>
      </c>
      <c r="E137" t="s">
        <v>55</v>
      </c>
      <c r="F137">
        <v>66</v>
      </c>
      <c r="G137">
        <v>0</v>
      </c>
      <c r="H137">
        <v>0</v>
      </c>
      <c r="I137">
        <v>66</v>
      </c>
      <c r="J137">
        <v>0</v>
      </c>
      <c r="K137">
        <v>64</v>
      </c>
      <c r="L137">
        <v>406</v>
      </c>
      <c r="M137">
        <v>5</v>
      </c>
      <c r="N137">
        <v>12</v>
      </c>
      <c r="O137">
        <v>1</v>
      </c>
      <c r="P137">
        <v>53</v>
      </c>
      <c r="Q137">
        <v>49</v>
      </c>
      <c r="R137">
        <v>34</v>
      </c>
      <c r="S137">
        <v>0</v>
      </c>
      <c r="T137">
        <v>0</v>
      </c>
      <c r="U137">
        <v>0</v>
      </c>
      <c r="V137">
        <v>0</v>
      </c>
      <c r="W137">
        <v>0</v>
      </c>
      <c r="X137">
        <v>5</v>
      </c>
      <c r="Y137">
        <v>1</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19</v>
      </c>
      <c r="AW137">
        <v>0</v>
      </c>
      <c r="AX137">
        <v>0</v>
      </c>
      <c r="AY137">
        <v>0</v>
      </c>
    </row>
    <row r="138" spans="1:51" x14ac:dyDescent="0.3">
      <c r="A138" t="s">
        <v>181</v>
      </c>
      <c r="B138" t="s">
        <v>52</v>
      </c>
      <c r="C138" t="s">
        <v>184</v>
      </c>
      <c r="D138" t="s">
        <v>224</v>
      </c>
      <c r="E138" t="s">
        <v>55</v>
      </c>
      <c r="F138">
        <v>53</v>
      </c>
      <c r="G138">
        <v>0</v>
      </c>
      <c r="H138">
        <v>0</v>
      </c>
      <c r="I138">
        <v>53</v>
      </c>
      <c r="J138">
        <v>0</v>
      </c>
      <c r="K138">
        <v>53</v>
      </c>
      <c r="L138">
        <v>293</v>
      </c>
      <c r="M138">
        <v>9</v>
      </c>
      <c r="N138">
        <v>9</v>
      </c>
      <c r="O138">
        <v>2</v>
      </c>
      <c r="P138">
        <v>47</v>
      </c>
      <c r="Q138">
        <v>43</v>
      </c>
      <c r="R138">
        <v>43</v>
      </c>
      <c r="S138">
        <v>0</v>
      </c>
      <c r="T138">
        <v>0</v>
      </c>
      <c r="U138">
        <v>0</v>
      </c>
      <c r="V138">
        <v>0</v>
      </c>
      <c r="W138">
        <v>0</v>
      </c>
      <c r="X138">
        <v>2</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13</v>
      </c>
      <c r="AW138">
        <v>0</v>
      </c>
      <c r="AX138">
        <v>0</v>
      </c>
      <c r="AY138">
        <v>0</v>
      </c>
    </row>
    <row r="139" spans="1:51" x14ac:dyDescent="0.3">
      <c r="A139" t="s">
        <v>181</v>
      </c>
      <c r="B139" t="s">
        <v>52</v>
      </c>
      <c r="C139" t="s">
        <v>184</v>
      </c>
      <c r="D139" t="s">
        <v>225</v>
      </c>
      <c r="E139" t="s">
        <v>55</v>
      </c>
      <c r="F139">
        <v>66</v>
      </c>
      <c r="G139">
        <v>0</v>
      </c>
      <c r="H139">
        <v>0</v>
      </c>
      <c r="I139">
        <v>66</v>
      </c>
      <c r="J139">
        <v>0</v>
      </c>
      <c r="K139">
        <v>65</v>
      </c>
      <c r="L139">
        <v>281</v>
      </c>
      <c r="M139">
        <v>0</v>
      </c>
      <c r="N139">
        <v>0</v>
      </c>
      <c r="O139">
        <v>0</v>
      </c>
      <c r="P139">
        <v>50</v>
      </c>
      <c r="Q139">
        <v>50</v>
      </c>
      <c r="R139">
        <v>22</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19</v>
      </c>
      <c r="AW139">
        <v>0</v>
      </c>
      <c r="AX139">
        <v>0</v>
      </c>
      <c r="AY139">
        <v>0</v>
      </c>
    </row>
    <row r="140" spans="1:51" x14ac:dyDescent="0.3">
      <c r="A140" t="s">
        <v>181</v>
      </c>
      <c r="B140" t="s">
        <v>52</v>
      </c>
      <c r="C140" t="s">
        <v>184</v>
      </c>
      <c r="D140" t="s">
        <v>226</v>
      </c>
      <c r="E140" t="s">
        <v>55</v>
      </c>
      <c r="F140">
        <v>59</v>
      </c>
      <c r="G140">
        <v>0</v>
      </c>
      <c r="H140">
        <v>0</v>
      </c>
      <c r="I140">
        <v>59</v>
      </c>
      <c r="J140">
        <v>0</v>
      </c>
      <c r="K140">
        <v>57</v>
      </c>
      <c r="L140">
        <v>222</v>
      </c>
      <c r="M140">
        <v>4</v>
      </c>
      <c r="N140">
        <v>3</v>
      </c>
      <c r="O140">
        <v>3</v>
      </c>
      <c r="P140">
        <v>32</v>
      </c>
      <c r="Q140">
        <v>30</v>
      </c>
      <c r="R140">
        <v>12</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14</v>
      </c>
      <c r="AW140">
        <v>0</v>
      </c>
      <c r="AX140">
        <v>0</v>
      </c>
      <c r="AY140">
        <v>0</v>
      </c>
    </row>
    <row r="141" spans="1:51" x14ac:dyDescent="0.3">
      <c r="A141" t="s">
        <v>181</v>
      </c>
      <c r="B141" t="s">
        <v>72</v>
      </c>
      <c r="C141" t="s">
        <v>194</v>
      </c>
      <c r="D141" t="s">
        <v>227</v>
      </c>
      <c r="E141" t="s">
        <v>55</v>
      </c>
      <c r="F141">
        <v>0</v>
      </c>
      <c r="G141">
        <v>0</v>
      </c>
      <c r="H141">
        <v>0</v>
      </c>
      <c r="I141">
        <v>0</v>
      </c>
      <c r="J141">
        <v>0</v>
      </c>
      <c r="K141">
        <v>0</v>
      </c>
      <c r="L141">
        <v>145</v>
      </c>
      <c r="M141">
        <v>14</v>
      </c>
      <c r="N141">
        <v>22</v>
      </c>
      <c r="O141">
        <v>4</v>
      </c>
      <c r="P141">
        <v>0</v>
      </c>
      <c r="Q141">
        <v>0</v>
      </c>
      <c r="R141">
        <v>0</v>
      </c>
      <c r="S141">
        <v>47</v>
      </c>
      <c r="T141">
        <v>0</v>
      </c>
      <c r="U141">
        <v>6</v>
      </c>
      <c r="V141">
        <v>0</v>
      </c>
      <c r="W141">
        <v>0</v>
      </c>
      <c r="X141">
        <v>45</v>
      </c>
      <c r="Y141">
        <v>0</v>
      </c>
      <c r="Z141">
        <v>0</v>
      </c>
      <c r="AA141">
        <v>0</v>
      </c>
      <c r="AB141">
        <v>45</v>
      </c>
      <c r="AC141">
        <v>0</v>
      </c>
      <c r="AD141">
        <v>0</v>
      </c>
      <c r="AE141">
        <v>0</v>
      </c>
      <c r="AF141">
        <v>45</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row>
    <row r="142" spans="1:51" x14ac:dyDescent="0.3">
      <c r="A142" t="s">
        <v>181</v>
      </c>
      <c r="B142" t="s">
        <v>72</v>
      </c>
      <c r="C142" t="s">
        <v>197</v>
      </c>
      <c r="D142" t="s">
        <v>228</v>
      </c>
      <c r="E142" t="s">
        <v>55</v>
      </c>
      <c r="F142">
        <v>0</v>
      </c>
      <c r="G142">
        <v>0</v>
      </c>
      <c r="H142">
        <v>0</v>
      </c>
      <c r="I142">
        <v>0</v>
      </c>
      <c r="J142">
        <v>0</v>
      </c>
      <c r="K142">
        <v>0</v>
      </c>
      <c r="L142">
        <v>360</v>
      </c>
      <c r="M142">
        <v>115</v>
      </c>
      <c r="N142">
        <v>113</v>
      </c>
      <c r="O142">
        <v>20</v>
      </c>
      <c r="P142">
        <v>0</v>
      </c>
      <c r="Q142">
        <v>0</v>
      </c>
      <c r="R142">
        <v>176</v>
      </c>
      <c r="S142">
        <v>237</v>
      </c>
      <c r="T142">
        <v>0</v>
      </c>
      <c r="U142">
        <v>5</v>
      </c>
      <c r="V142">
        <v>4</v>
      </c>
      <c r="W142">
        <v>0</v>
      </c>
      <c r="X142">
        <v>245</v>
      </c>
      <c r="Y142">
        <v>89</v>
      </c>
      <c r="Z142">
        <v>0</v>
      </c>
      <c r="AA142">
        <v>0</v>
      </c>
      <c r="AB142">
        <v>85</v>
      </c>
      <c r="AC142">
        <v>1</v>
      </c>
      <c r="AD142">
        <v>0</v>
      </c>
      <c r="AE142">
        <v>1</v>
      </c>
      <c r="AF142">
        <v>280</v>
      </c>
      <c r="AG142">
        <v>0</v>
      </c>
      <c r="AH142">
        <v>0</v>
      </c>
      <c r="AI142">
        <v>0</v>
      </c>
      <c r="AJ142">
        <v>0</v>
      </c>
      <c r="AK142">
        <v>0</v>
      </c>
      <c r="AL142">
        <v>0</v>
      </c>
      <c r="AM142">
        <v>0</v>
      </c>
      <c r="AN142">
        <v>11</v>
      </c>
      <c r="AO142">
        <v>3</v>
      </c>
      <c r="AP142">
        <v>0</v>
      </c>
      <c r="AQ142">
        <v>0</v>
      </c>
      <c r="AR142">
        <v>0</v>
      </c>
      <c r="AS142">
        <v>0</v>
      </c>
      <c r="AT142">
        <v>0</v>
      </c>
      <c r="AU142">
        <v>0</v>
      </c>
      <c r="AV142">
        <v>0</v>
      </c>
      <c r="AW142">
        <v>1</v>
      </c>
      <c r="AX142">
        <v>0</v>
      </c>
      <c r="AY142">
        <v>0</v>
      </c>
    </row>
    <row r="143" spans="1:51" x14ac:dyDescent="0.3">
      <c r="A143" t="s">
        <v>181</v>
      </c>
      <c r="B143" t="s">
        <v>72</v>
      </c>
      <c r="C143" t="s">
        <v>188</v>
      </c>
      <c r="D143" t="s">
        <v>229</v>
      </c>
      <c r="E143" t="s">
        <v>55</v>
      </c>
      <c r="F143">
        <v>0</v>
      </c>
      <c r="G143">
        <v>0</v>
      </c>
      <c r="H143">
        <v>0</v>
      </c>
      <c r="I143">
        <v>0</v>
      </c>
      <c r="J143">
        <v>0</v>
      </c>
      <c r="K143">
        <v>0</v>
      </c>
      <c r="L143">
        <v>211</v>
      </c>
      <c r="M143">
        <v>64</v>
      </c>
      <c r="N143">
        <v>46</v>
      </c>
      <c r="O143">
        <v>19</v>
      </c>
      <c r="P143">
        <v>0</v>
      </c>
      <c r="Q143">
        <v>0</v>
      </c>
      <c r="R143">
        <v>0</v>
      </c>
      <c r="S143">
        <v>153</v>
      </c>
      <c r="T143">
        <v>0</v>
      </c>
      <c r="U143">
        <v>0</v>
      </c>
      <c r="V143">
        <v>0</v>
      </c>
      <c r="W143">
        <v>0</v>
      </c>
      <c r="X143">
        <v>9</v>
      </c>
      <c r="Y143">
        <v>63</v>
      </c>
      <c r="Z143">
        <v>0</v>
      </c>
      <c r="AA143">
        <v>0</v>
      </c>
      <c r="AB143">
        <v>46</v>
      </c>
      <c r="AC143">
        <v>0</v>
      </c>
      <c r="AD143">
        <v>0</v>
      </c>
      <c r="AE143">
        <v>0</v>
      </c>
      <c r="AF143">
        <v>23</v>
      </c>
      <c r="AG143">
        <v>0</v>
      </c>
      <c r="AH143">
        <v>0</v>
      </c>
      <c r="AI143">
        <v>0</v>
      </c>
      <c r="AJ143">
        <v>0</v>
      </c>
      <c r="AK143">
        <v>0</v>
      </c>
      <c r="AL143">
        <v>0</v>
      </c>
      <c r="AM143">
        <v>0</v>
      </c>
      <c r="AN143">
        <v>1</v>
      </c>
      <c r="AO143">
        <v>0</v>
      </c>
      <c r="AP143">
        <v>0</v>
      </c>
      <c r="AQ143">
        <v>0</v>
      </c>
      <c r="AR143">
        <v>0</v>
      </c>
      <c r="AS143">
        <v>0</v>
      </c>
      <c r="AT143">
        <v>0</v>
      </c>
      <c r="AU143">
        <v>0</v>
      </c>
      <c r="AV143">
        <v>0</v>
      </c>
      <c r="AW143">
        <v>1</v>
      </c>
      <c r="AX143">
        <v>0</v>
      </c>
      <c r="AY143">
        <v>0</v>
      </c>
    </row>
    <row r="144" spans="1:51" x14ac:dyDescent="0.3">
      <c r="A144" t="s">
        <v>181</v>
      </c>
      <c r="B144" t="s">
        <v>72</v>
      </c>
      <c r="C144" t="s">
        <v>190</v>
      </c>
      <c r="D144" t="s">
        <v>230</v>
      </c>
      <c r="E144" t="s">
        <v>55</v>
      </c>
      <c r="F144">
        <v>0</v>
      </c>
      <c r="G144">
        <v>0</v>
      </c>
      <c r="H144">
        <v>0</v>
      </c>
      <c r="I144">
        <v>0</v>
      </c>
      <c r="J144">
        <v>0</v>
      </c>
      <c r="K144">
        <v>0</v>
      </c>
      <c r="L144">
        <v>1653</v>
      </c>
      <c r="M144">
        <v>66</v>
      </c>
      <c r="N144">
        <v>63</v>
      </c>
      <c r="O144">
        <v>14</v>
      </c>
      <c r="P144">
        <v>0</v>
      </c>
      <c r="Q144">
        <v>0</v>
      </c>
      <c r="R144">
        <v>3</v>
      </c>
      <c r="S144">
        <v>242</v>
      </c>
      <c r="T144">
        <v>0</v>
      </c>
      <c r="U144">
        <v>0</v>
      </c>
      <c r="V144">
        <v>0</v>
      </c>
      <c r="W144">
        <v>0</v>
      </c>
      <c r="X144">
        <v>220</v>
      </c>
      <c r="Y144">
        <v>22</v>
      </c>
      <c r="Z144">
        <v>0</v>
      </c>
      <c r="AA144">
        <v>0</v>
      </c>
      <c r="AB144">
        <v>28</v>
      </c>
      <c r="AC144">
        <v>0</v>
      </c>
      <c r="AD144">
        <v>0</v>
      </c>
      <c r="AE144">
        <v>0</v>
      </c>
      <c r="AF144">
        <v>217</v>
      </c>
      <c r="AG144">
        <v>0</v>
      </c>
      <c r="AH144">
        <v>0</v>
      </c>
      <c r="AI144">
        <v>0</v>
      </c>
      <c r="AJ144">
        <v>0</v>
      </c>
      <c r="AK144">
        <v>0</v>
      </c>
      <c r="AL144">
        <v>0</v>
      </c>
      <c r="AM144">
        <v>0</v>
      </c>
      <c r="AN144">
        <v>3</v>
      </c>
      <c r="AO144">
        <v>0</v>
      </c>
      <c r="AP144">
        <v>0</v>
      </c>
      <c r="AQ144">
        <v>0</v>
      </c>
      <c r="AR144">
        <v>0</v>
      </c>
      <c r="AS144">
        <v>0</v>
      </c>
      <c r="AT144">
        <v>0</v>
      </c>
      <c r="AU144">
        <v>0</v>
      </c>
      <c r="AV144">
        <v>0</v>
      </c>
      <c r="AW144">
        <v>0</v>
      </c>
      <c r="AX144">
        <v>0</v>
      </c>
      <c r="AY144">
        <v>0</v>
      </c>
    </row>
    <row r="145" spans="1:51" x14ac:dyDescent="0.3">
      <c r="A145" t="s">
        <v>181</v>
      </c>
      <c r="B145" t="s">
        <v>72</v>
      </c>
      <c r="C145" t="s">
        <v>182</v>
      </c>
      <c r="D145" t="s">
        <v>231</v>
      </c>
      <c r="E145" t="s">
        <v>55</v>
      </c>
      <c r="F145">
        <v>0</v>
      </c>
      <c r="G145">
        <v>0</v>
      </c>
      <c r="H145">
        <v>0</v>
      </c>
      <c r="I145">
        <v>0</v>
      </c>
      <c r="J145">
        <v>0</v>
      </c>
      <c r="K145">
        <v>0</v>
      </c>
      <c r="L145">
        <v>247</v>
      </c>
      <c r="M145">
        <v>36</v>
      </c>
      <c r="N145">
        <v>34</v>
      </c>
      <c r="O145">
        <v>5</v>
      </c>
      <c r="P145">
        <v>0</v>
      </c>
      <c r="Q145">
        <v>0</v>
      </c>
      <c r="R145">
        <v>0</v>
      </c>
      <c r="S145">
        <v>68</v>
      </c>
      <c r="T145">
        <v>0</v>
      </c>
      <c r="U145">
        <v>0</v>
      </c>
      <c r="V145">
        <v>0</v>
      </c>
      <c r="W145">
        <v>0</v>
      </c>
      <c r="X145">
        <v>68</v>
      </c>
      <c r="Y145">
        <v>1</v>
      </c>
      <c r="Z145">
        <v>0</v>
      </c>
      <c r="AA145">
        <v>0</v>
      </c>
      <c r="AB145">
        <v>2</v>
      </c>
      <c r="AC145">
        <v>0</v>
      </c>
      <c r="AD145">
        <v>0</v>
      </c>
      <c r="AE145">
        <v>0</v>
      </c>
      <c r="AF145">
        <v>47</v>
      </c>
      <c r="AG145">
        <v>1</v>
      </c>
      <c r="AH145">
        <v>0</v>
      </c>
      <c r="AI145">
        <v>0</v>
      </c>
      <c r="AJ145">
        <v>0</v>
      </c>
      <c r="AK145">
        <v>0</v>
      </c>
      <c r="AL145">
        <v>0</v>
      </c>
      <c r="AM145">
        <v>0</v>
      </c>
      <c r="AN145">
        <v>247</v>
      </c>
      <c r="AO145">
        <v>0</v>
      </c>
      <c r="AP145">
        <v>0</v>
      </c>
      <c r="AQ145">
        <v>0</v>
      </c>
      <c r="AR145">
        <v>0</v>
      </c>
      <c r="AS145">
        <v>0</v>
      </c>
      <c r="AT145">
        <v>0</v>
      </c>
      <c r="AU145">
        <v>0</v>
      </c>
      <c r="AV145">
        <v>0</v>
      </c>
      <c r="AW145">
        <v>0</v>
      </c>
      <c r="AX145">
        <v>0</v>
      </c>
      <c r="AY145">
        <v>0</v>
      </c>
    </row>
    <row r="146" spans="1:51" x14ac:dyDescent="0.3">
      <c r="A146" t="s">
        <v>181</v>
      </c>
      <c r="B146" t="s">
        <v>72</v>
      </c>
      <c r="C146" t="s">
        <v>215</v>
      </c>
      <c r="D146" t="s">
        <v>232</v>
      </c>
      <c r="E146" t="s">
        <v>55</v>
      </c>
      <c r="F146">
        <v>0</v>
      </c>
      <c r="G146">
        <v>0</v>
      </c>
      <c r="H146">
        <v>0</v>
      </c>
      <c r="I146">
        <v>0</v>
      </c>
      <c r="J146">
        <v>0</v>
      </c>
      <c r="K146">
        <v>0</v>
      </c>
      <c r="L146">
        <v>611</v>
      </c>
      <c r="M146">
        <v>69</v>
      </c>
      <c r="N146">
        <v>77</v>
      </c>
      <c r="O146">
        <v>26</v>
      </c>
      <c r="P146">
        <v>125</v>
      </c>
      <c r="Q146">
        <v>125</v>
      </c>
      <c r="R146">
        <v>136</v>
      </c>
      <c r="S146">
        <v>285</v>
      </c>
      <c r="T146">
        <v>0</v>
      </c>
      <c r="U146">
        <v>0</v>
      </c>
      <c r="V146">
        <v>0</v>
      </c>
      <c r="W146">
        <v>0</v>
      </c>
      <c r="X146">
        <v>301</v>
      </c>
      <c r="Y146">
        <v>64</v>
      </c>
      <c r="Z146">
        <v>0</v>
      </c>
      <c r="AA146">
        <v>0</v>
      </c>
      <c r="AB146">
        <v>22</v>
      </c>
      <c r="AC146">
        <v>0</v>
      </c>
      <c r="AD146">
        <v>0</v>
      </c>
      <c r="AE146">
        <v>0</v>
      </c>
      <c r="AF146">
        <v>136</v>
      </c>
      <c r="AG146">
        <v>0</v>
      </c>
      <c r="AH146">
        <v>0</v>
      </c>
      <c r="AI146">
        <v>0</v>
      </c>
      <c r="AJ146">
        <v>0</v>
      </c>
      <c r="AK146">
        <v>0</v>
      </c>
      <c r="AL146">
        <v>0</v>
      </c>
      <c r="AM146">
        <v>0</v>
      </c>
      <c r="AN146">
        <v>1</v>
      </c>
      <c r="AO146">
        <v>0</v>
      </c>
      <c r="AP146">
        <v>0</v>
      </c>
      <c r="AQ146">
        <v>0</v>
      </c>
      <c r="AR146">
        <v>0</v>
      </c>
      <c r="AS146">
        <v>0</v>
      </c>
      <c r="AT146">
        <v>0</v>
      </c>
      <c r="AU146">
        <v>0</v>
      </c>
      <c r="AV146">
        <v>10</v>
      </c>
      <c r="AW146">
        <v>0</v>
      </c>
      <c r="AX146">
        <v>0</v>
      </c>
      <c r="AY146">
        <v>0</v>
      </c>
    </row>
    <row r="147" spans="1:51" x14ac:dyDescent="0.3">
      <c r="A147" t="s">
        <v>181</v>
      </c>
      <c r="B147" t="s">
        <v>74</v>
      </c>
      <c r="C147" t="s">
        <v>184</v>
      </c>
      <c r="D147" t="s">
        <v>233</v>
      </c>
      <c r="E147" t="s">
        <v>55</v>
      </c>
      <c r="F147">
        <v>0</v>
      </c>
      <c r="G147">
        <v>0</v>
      </c>
      <c r="H147">
        <v>0</v>
      </c>
      <c r="I147">
        <v>0</v>
      </c>
      <c r="J147">
        <v>0</v>
      </c>
      <c r="K147">
        <v>0</v>
      </c>
      <c r="L147">
        <v>200</v>
      </c>
      <c r="M147">
        <v>83</v>
      </c>
      <c r="N147">
        <v>90</v>
      </c>
      <c r="O147">
        <v>9</v>
      </c>
      <c r="P147">
        <v>0</v>
      </c>
      <c r="Q147">
        <v>0</v>
      </c>
      <c r="R147">
        <v>4</v>
      </c>
      <c r="S147">
        <v>298</v>
      </c>
      <c r="T147">
        <v>0</v>
      </c>
      <c r="U147">
        <v>3</v>
      </c>
      <c r="V147">
        <v>2</v>
      </c>
      <c r="W147">
        <v>0</v>
      </c>
      <c r="X147">
        <v>50</v>
      </c>
      <c r="Y147">
        <v>136</v>
      </c>
      <c r="Z147">
        <v>1</v>
      </c>
      <c r="AA147">
        <v>1</v>
      </c>
      <c r="AB147">
        <v>60</v>
      </c>
      <c r="AC147">
        <v>1</v>
      </c>
      <c r="AD147">
        <v>0</v>
      </c>
      <c r="AE147">
        <v>0</v>
      </c>
      <c r="AF147">
        <v>262</v>
      </c>
      <c r="AG147">
        <v>1</v>
      </c>
      <c r="AH147">
        <v>1</v>
      </c>
      <c r="AI147">
        <v>0</v>
      </c>
      <c r="AJ147">
        <v>0</v>
      </c>
      <c r="AK147">
        <v>0</v>
      </c>
      <c r="AL147">
        <v>0</v>
      </c>
      <c r="AM147">
        <v>0</v>
      </c>
      <c r="AN147">
        <v>9</v>
      </c>
      <c r="AO147">
        <v>2</v>
      </c>
      <c r="AP147">
        <v>0</v>
      </c>
      <c r="AQ147">
        <v>0</v>
      </c>
      <c r="AR147">
        <v>0</v>
      </c>
      <c r="AS147">
        <v>0</v>
      </c>
      <c r="AT147">
        <v>0</v>
      </c>
      <c r="AU147">
        <v>0</v>
      </c>
      <c r="AV147">
        <v>0</v>
      </c>
      <c r="AW147">
        <v>13</v>
      </c>
      <c r="AX147">
        <v>3</v>
      </c>
      <c r="AY147">
        <v>0</v>
      </c>
    </row>
    <row r="148" spans="1:51" x14ac:dyDescent="0.3">
      <c r="A148" t="s">
        <v>181</v>
      </c>
      <c r="B148" t="s">
        <v>52</v>
      </c>
      <c r="C148" t="s">
        <v>234</v>
      </c>
      <c r="D148" t="s">
        <v>235</v>
      </c>
      <c r="E148" t="s">
        <v>55</v>
      </c>
      <c r="F148">
        <v>29</v>
      </c>
      <c r="G148">
        <v>0</v>
      </c>
      <c r="H148">
        <v>0</v>
      </c>
      <c r="I148">
        <v>29</v>
      </c>
      <c r="J148">
        <v>0</v>
      </c>
      <c r="K148">
        <v>27</v>
      </c>
      <c r="L148">
        <v>122</v>
      </c>
      <c r="M148">
        <v>1</v>
      </c>
      <c r="N148">
        <v>0</v>
      </c>
      <c r="O148">
        <v>0</v>
      </c>
      <c r="P148">
        <v>21</v>
      </c>
      <c r="Q148">
        <v>21</v>
      </c>
      <c r="R148">
        <v>21</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row>
    <row r="149" spans="1:51" x14ac:dyDescent="0.3">
      <c r="A149" t="s">
        <v>181</v>
      </c>
      <c r="B149" t="s">
        <v>52</v>
      </c>
      <c r="C149" t="s">
        <v>234</v>
      </c>
      <c r="D149" t="s">
        <v>236</v>
      </c>
      <c r="E149" t="s">
        <v>55</v>
      </c>
      <c r="F149">
        <v>52</v>
      </c>
      <c r="G149">
        <v>0</v>
      </c>
      <c r="H149">
        <v>0</v>
      </c>
      <c r="I149">
        <v>52</v>
      </c>
      <c r="J149">
        <v>0</v>
      </c>
      <c r="K149">
        <v>49</v>
      </c>
      <c r="L149">
        <v>365</v>
      </c>
      <c r="M149">
        <v>0</v>
      </c>
      <c r="N149">
        <v>0</v>
      </c>
      <c r="O149">
        <v>0</v>
      </c>
      <c r="P149">
        <v>48</v>
      </c>
      <c r="Q149">
        <v>48</v>
      </c>
      <c r="R149">
        <v>42</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row>
    <row r="150" spans="1:51" x14ac:dyDescent="0.3">
      <c r="A150" t="s">
        <v>181</v>
      </c>
      <c r="B150" t="s">
        <v>52</v>
      </c>
      <c r="C150" t="s">
        <v>234</v>
      </c>
      <c r="D150" t="s">
        <v>237</v>
      </c>
      <c r="E150" t="s">
        <v>55</v>
      </c>
      <c r="F150">
        <v>13</v>
      </c>
      <c r="G150">
        <v>0</v>
      </c>
      <c r="H150">
        <v>0</v>
      </c>
      <c r="I150">
        <v>13</v>
      </c>
      <c r="J150">
        <v>0</v>
      </c>
      <c r="K150">
        <v>13</v>
      </c>
      <c r="L150">
        <v>91</v>
      </c>
      <c r="M150">
        <v>2</v>
      </c>
      <c r="N150">
        <v>2</v>
      </c>
      <c r="O150">
        <v>0</v>
      </c>
      <c r="P150">
        <v>15</v>
      </c>
      <c r="Q150">
        <v>15</v>
      </c>
      <c r="R150">
        <v>11</v>
      </c>
      <c r="S150">
        <v>0</v>
      </c>
      <c r="T150">
        <v>0</v>
      </c>
      <c r="U150">
        <v>0</v>
      </c>
      <c r="V150">
        <v>0</v>
      </c>
      <c r="W150">
        <v>0</v>
      </c>
      <c r="X150">
        <v>5</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3</v>
      </c>
      <c r="AW150">
        <v>0</v>
      </c>
      <c r="AX150">
        <v>0</v>
      </c>
      <c r="AY150">
        <v>0</v>
      </c>
    </row>
    <row r="151" spans="1:51" x14ac:dyDescent="0.3">
      <c r="A151" t="s">
        <v>181</v>
      </c>
      <c r="B151" t="s">
        <v>52</v>
      </c>
      <c r="C151" t="s">
        <v>234</v>
      </c>
      <c r="D151" t="s">
        <v>238</v>
      </c>
      <c r="E151" t="s">
        <v>55</v>
      </c>
      <c r="F151">
        <v>24</v>
      </c>
      <c r="G151">
        <v>0</v>
      </c>
      <c r="H151">
        <v>0</v>
      </c>
      <c r="I151">
        <v>22</v>
      </c>
      <c r="J151">
        <v>0</v>
      </c>
      <c r="K151">
        <v>23</v>
      </c>
      <c r="L151">
        <v>111</v>
      </c>
      <c r="M151">
        <v>1</v>
      </c>
      <c r="N151">
        <v>1</v>
      </c>
      <c r="O151">
        <v>0</v>
      </c>
      <c r="P151">
        <v>14</v>
      </c>
      <c r="Q151">
        <v>14</v>
      </c>
      <c r="R151">
        <v>15</v>
      </c>
      <c r="S151">
        <v>0</v>
      </c>
      <c r="T151">
        <v>0</v>
      </c>
      <c r="U151">
        <v>0</v>
      </c>
      <c r="V151">
        <v>0</v>
      </c>
      <c r="W151">
        <v>0</v>
      </c>
      <c r="X151">
        <v>6</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row>
    <row r="152" spans="1:51" x14ac:dyDescent="0.3">
      <c r="A152" t="s">
        <v>181</v>
      </c>
      <c r="B152" t="s">
        <v>72</v>
      </c>
      <c r="C152" t="s">
        <v>234</v>
      </c>
      <c r="D152" t="s">
        <v>239</v>
      </c>
      <c r="E152" t="s">
        <v>55</v>
      </c>
      <c r="F152">
        <v>0</v>
      </c>
      <c r="G152">
        <v>0</v>
      </c>
      <c r="H152">
        <v>0</v>
      </c>
      <c r="I152">
        <v>0</v>
      </c>
      <c r="J152">
        <v>0</v>
      </c>
      <c r="K152">
        <v>0</v>
      </c>
      <c r="L152">
        <v>308</v>
      </c>
      <c r="M152">
        <v>61</v>
      </c>
      <c r="N152">
        <v>55</v>
      </c>
      <c r="O152">
        <v>14</v>
      </c>
      <c r="P152">
        <v>0</v>
      </c>
      <c r="Q152">
        <v>0</v>
      </c>
      <c r="R152">
        <v>0</v>
      </c>
      <c r="S152">
        <v>118</v>
      </c>
      <c r="T152">
        <v>0</v>
      </c>
      <c r="U152">
        <v>0</v>
      </c>
      <c r="V152">
        <v>0</v>
      </c>
      <c r="W152">
        <v>0</v>
      </c>
      <c r="X152">
        <v>121</v>
      </c>
      <c r="Y152">
        <v>1</v>
      </c>
      <c r="Z152">
        <v>0</v>
      </c>
      <c r="AA152">
        <v>0</v>
      </c>
      <c r="AB152">
        <v>1</v>
      </c>
      <c r="AC152">
        <v>0</v>
      </c>
      <c r="AD152">
        <v>0</v>
      </c>
      <c r="AE152">
        <v>0</v>
      </c>
      <c r="AF152">
        <v>78</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row>
    <row r="153" spans="1:51" x14ac:dyDescent="0.3">
      <c r="A153" t="s">
        <v>181</v>
      </c>
      <c r="B153" t="s">
        <v>52</v>
      </c>
      <c r="C153" t="s">
        <v>240</v>
      </c>
      <c r="D153" t="s">
        <v>241</v>
      </c>
      <c r="E153" t="s">
        <v>55</v>
      </c>
      <c r="F153">
        <v>39</v>
      </c>
      <c r="G153">
        <v>0</v>
      </c>
      <c r="H153">
        <v>0</v>
      </c>
      <c r="I153">
        <v>39</v>
      </c>
      <c r="J153">
        <v>0</v>
      </c>
      <c r="K153">
        <v>37</v>
      </c>
      <c r="L153">
        <v>194</v>
      </c>
      <c r="M153">
        <v>0</v>
      </c>
      <c r="N153">
        <v>0</v>
      </c>
      <c r="O153">
        <v>0</v>
      </c>
      <c r="P153">
        <v>31</v>
      </c>
      <c r="Q153">
        <v>31</v>
      </c>
      <c r="R153">
        <v>18</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row>
    <row r="154" spans="1:51" x14ac:dyDescent="0.3">
      <c r="A154" t="s">
        <v>181</v>
      </c>
      <c r="B154" t="s">
        <v>52</v>
      </c>
      <c r="C154" t="s">
        <v>242</v>
      </c>
      <c r="D154" t="s">
        <v>243</v>
      </c>
      <c r="E154" t="s">
        <v>55</v>
      </c>
      <c r="F154">
        <v>41</v>
      </c>
      <c r="G154">
        <v>0</v>
      </c>
      <c r="H154">
        <v>0</v>
      </c>
      <c r="I154">
        <v>41</v>
      </c>
      <c r="J154">
        <v>0</v>
      </c>
      <c r="K154">
        <v>39</v>
      </c>
      <c r="L154">
        <v>233</v>
      </c>
      <c r="M154">
        <v>0</v>
      </c>
      <c r="N154">
        <v>0</v>
      </c>
      <c r="O154">
        <v>0</v>
      </c>
      <c r="P154">
        <v>23</v>
      </c>
      <c r="Q154">
        <v>23</v>
      </c>
      <c r="R154">
        <v>35</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15</v>
      </c>
      <c r="AW154">
        <v>0</v>
      </c>
      <c r="AX154">
        <v>0</v>
      </c>
      <c r="AY154">
        <v>0</v>
      </c>
    </row>
    <row r="155" spans="1:51" x14ac:dyDescent="0.3">
      <c r="A155" t="s">
        <v>181</v>
      </c>
      <c r="B155" t="s">
        <v>52</v>
      </c>
      <c r="C155" t="s">
        <v>244</v>
      </c>
      <c r="D155" t="s">
        <v>245</v>
      </c>
      <c r="E155" t="s">
        <v>55</v>
      </c>
      <c r="F155">
        <v>25</v>
      </c>
      <c r="G155">
        <v>0</v>
      </c>
      <c r="H155">
        <v>0</v>
      </c>
      <c r="I155">
        <v>25</v>
      </c>
      <c r="J155">
        <v>0</v>
      </c>
      <c r="K155">
        <v>25</v>
      </c>
      <c r="L155">
        <v>190</v>
      </c>
      <c r="M155">
        <v>3</v>
      </c>
      <c r="N155">
        <v>5</v>
      </c>
      <c r="O155">
        <v>5</v>
      </c>
      <c r="P155">
        <v>27</v>
      </c>
      <c r="Q155">
        <v>27</v>
      </c>
      <c r="R155">
        <v>23</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60</v>
      </c>
      <c r="AO155">
        <v>0</v>
      </c>
      <c r="AP155">
        <v>0</v>
      </c>
      <c r="AQ155">
        <v>0</v>
      </c>
      <c r="AR155">
        <v>0</v>
      </c>
      <c r="AS155">
        <v>0</v>
      </c>
      <c r="AT155">
        <v>0</v>
      </c>
      <c r="AU155">
        <v>0</v>
      </c>
      <c r="AV155">
        <v>15</v>
      </c>
      <c r="AW155">
        <v>0</v>
      </c>
      <c r="AX155">
        <v>0</v>
      </c>
      <c r="AY155">
        <v>0</v>
      </c>
    </row>
    <row r="156" spans="1:51" x14ac:dyDescent="0.3">
      <c r="A156" t="s">
        <v>181</v>
      </c>
      <c r="B156" t="s">
        <v>52</v>
      </c>
      <c r="C156" t="s">
        <v>246</v>
      </c>
      <c r="D156" t="s">
        <v>247</v>
      </c>
      <c r="E156" t="s">
        <v>55</v>
      </c>
      <c r="F156">
        <v>47</v>
      </c>
      <c r="G156">
        <v>0</v>
      </c>
      <c r="H156">
        <v>0</v>
      </c>
      <c r="I156">
        <v>47</v>
      </c>
      <c r="J156">
        <v>0</v>
      </c>
      <c r="K156">
        <v>44</v>
      </c>
      <c r="L156">
        <v>272</v>
      </c>
      <c r="M156">
        <v>1</v>
      </c>
      <c r="N156">
        <v>1</v>
      </c>
      <c r="O156">
        <v>0</v>
      </c>
      <c r="P156">
        <v>28</v>
      </c>
      <c r="Q156">
        <v>28</v>
      </c>
      <c r="R156">
        <v>9</v>
      </c>
      <c r="S156">
        <v>4</v>
      </c>
      <c r="T156">
        <v>0</v>
      </c>
      <c r="U156">
        <v>0</v>
      </c>
      <c r="V156">
        <v>0</v>
      </c>
      <c r="W156">
        <v>0</v>
      </c>
      <c r="X156">
        <v>0</v>
      </c>
      <c r="Y156">
        <v>4</v>
      </c>
      <c r="Z156">
        <v>0</v>
      </c>
      <c r="AA156">
        <v>0</v>
      </c>
      <c r="AB156">
        <v>0</v>
      </c>
      <c r="AC156">
        <v>0</v>
      </c>
      <c r="AD156">
        <v>0</v>
      </c>
      <c r="AE156">
        <v>0</v>
      </c>
      <c r="AF156">
        <v>0</v>
      </c>
      <c r="AG156">
        <v>0</v>
      </c>
      <c r="AH156">
        <v>0</v>
      </c>
      <c r="AI156">
        <v>0</v>
      </c>
      <c r="AJ156">
        <v>0</v>
      </c>
      <c r="AK156">
        <v>0</v>
      </c>
      <c r="AL156">
        <v>0</v>
      </c>
      <c r="AM156">
        <v>0</v>
      </c>
      <c r="AN156">
        <v>1</v>
      </c>
      <c r="AO156">
        <v>0</v>
      </c>
      <c r="AP156">
        <v>0</v>
      </c>
      <c r="AQ156">
        <v>0</v>
      </c>
      <c r="AR156">
        <v>0</v>
      </c>
      <c r="AS156">
        <v>0</v>
      </c>
      <c r="AT156">
        <v>0</v>
      </c>
      <c r="AU156">
        <v>0</v>
      </c>
      <c r="AV156">
        <v>2</v>
      </c>
      <c r="AW156">
        <v>0</v>
      </c>
      <c r="AX156">
        <v>0</v>
      </c>
      <c r="AY156">
        <v>0</v>
      </c>
    </row>
    <row r="157" spans="1:51" x14ac:dyDescent="0.3">
      <c r="A157" t="s">
        <v>181</v>
      </c>
      <c r="B157" t="s">
        <v>52</v>
      </c>
      <c r="C157" t="s">
        <v>248</v>
      </c>
      <c r="D157" t="s">
        <v>249</v>
      </c>
      <c r="E157" t="s">
        <v>55</v>
      </c>
      <c r="F157">
        <v>21</v>
      </c>
      <c r="G157">
        <v>0</v>
      </c>
      <c r="H157">
        <v>0</v>
      </c>
      <c r="I157">
        <v>21</v>
      </c>
      <c r="J157">
        <v>0</v>
      </c>
      <c r="K157">
        <v>18</v>
      </c>
      <c r="L157">
        <v>200</v>
      </c>
      <c r="M157">
        <v>2</v>
      </c>
      <c r="N157">
        <v>3</v>
      </c>
      <c r="O157">
        <v>0</v>
      </c>
      <c r="P157">
        <v>23</v>
      </c>
      <c r="Q157">
        <v>23</v>
      </c>
      <c r="R157">
        <v>23</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row>
    <row r="158" spans="1:51" x14ac:dyDescent="0.3">
      <c r="A158" t="s">
        <v>181</v>
      </c>
      <c r="B158" t="s">
        <v>52</v>
      </c>
      <c r="C158" t="s">
        <v>250</v>
      </c>
      <c r="D158" t="s">
        <v>251</v>
      </c>
      <c r="E158" t="s">
        <v>55</v>
      </c>
      <c r="F158">
        <v>27</v>
      </c>
      <c r="G158">
        <v>0</v>
      </c>
      <c r="H158">
        <v>0</v>
      </c>
      <c r="I158">
        <v>27</v>
      </c>
      <c r="J158">
        <v>0</v>
      </c>
      <c r="K158">
        <v>25</v>
      </c>
      <c r="L158">
        <v>150</v>
      </c>
      <c r="M158">
        <v>2</v>
      </c>
      <c r="N158">
        <v>2</v>
      </c>
      <c r="O158">
        <v>1</v>
      </c>
      <c r="P158">
        <v>17</v>
      </c>
      <c r="Q158">
        <v>17</v>
      </c>
      <c r="R158">
        <v>23</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row>
    <row r="159" spans="1:51" x14ac:dyDescent="0.3">
      <c r="A159" t="s">
        <v>181</v>
      </c>
      <c r="B159" t="s">
        <v>52</v>
      </c>
      <c r="C159" t="s">
        <v>248</v>
      </c>
      <c r="D159" t="s">
        <v>252</v>
      </c>
      <c r="E159" t="s">
        <v>55</v>
      </c>
      <c r="F159">
        <v>23</v>
      </c>
      <c r="G159">
        <v>0</v>
      </c>
      <c r="H159">
        <v>0</v>
      </c>
      <c r="I159">
        <v>23</v>
      </c>
      <c r="J159">
        <v>0</v>
      </c>
      <c r="K159">
        <v>22</v>
      </c>
      <c r="L159">
        <v>188</v>
      </c>
      <c r="M159">
        <v>0</v>
      </c>
      <c r="N159">
        <v>0</v>
      </c>
      <c r="O159">
        <v>0</v>
      </c>
      <c r="P159">
        <v>16</v>
      </c>
      <c r="Q159">
        <v>16</v>
      </c>
      <c r="R159">
        <v>20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row>
    <row r="160" spans="1:51" x14ac:dyDescent="0.3">
      <c r="A160" t="s">
        <v>181</v>
      </c>
      <c r="B160" t="s">
        <v>52</v>
      </c>
      <c r="C160" t="s">
        <v>248</v>
      </c>
      <c r="D160" t="s">
        <v>253</v>
      </c>
      <c r="E160" t="s">
        <v>55</v>
      </c>
      <c r="F160">
        <v>56</v>
      </c>
      <c r="G160">
        <v>0</v>
      </c>
      <c r="H160">
        <v>0</v>
      </c>
      <c r="I160">
        <v>56</v>
      </c>
      <c r="J160">
        <v>0</v>
      </c>
      <c r="K160">
        <v>50</v>
      </c>
      <c r="L160">
        <v>534</v>
      </c>
      <c r="M160">
        <v>1</v>
      </c>
      <c r="N160">
        <v>3</v>
      </c>
      <c r="O160">
        <v>0</v>
      </c>
      <c r="P160">
        <v>43</v>
      </c>
      <c r="Q160">
        <v>43</v>
      </c>
      <c r="R160">
        <v>56</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row>
    <row r="161" spans="1:51" x14ac:dyDescent="0.3">
      <c r="A161" t="s">
        <v>181</v>
      </c>
      <c r="B161" t="s">
        <v>52</v>
      </c>
      <c r="C161" t="s">
        <v>254</v>
      </c>
      <c r="D161" t="s">
        <v>255</v>
      </c>
      <c r="E161" t="s">
        <v>55</v>
      </c>
      <c r="F161">
        <v>48</v>
      </c>
      <c r="G161">
        <v>0</v>
      </c>
      <c r="H161">
        <v>0</v>
      </c>
      <c r="I161">
        <v>48</v>
      </c>
      <c r="J161">
        <v>0</v>
      </c>
      <c r="K161">
        <v>48</v>
      </c>
      <c r="L161">
        <v>199</v>
      </c>
      <c r="M161">
        <v>0</v>
      </c>
      <c r="N161">
        <v>0</v>
      </c>
      <c r="O161">
        <v>0</v>
      </c>
      <c r="P161">
        <v>30</v>
      </c>
      <c r="Q161">
        <v>30</v>
      </c>
      <c r="R161">
        <v>1</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row>
    <row r="162" spans="1:51" x14ac:dyDescent="0.3">
      <c r="A162" t="s">
        <v>181</v>
      </c>
      <c r="B162" t="s">
        <v>52</v>
      </c>
      <c r="C162" t="s">
        <v>256</v>
      </c>
      <c r="D162" t="s">
        <v>257</v>
      </c>
      <c r="E162" t="s">
        <v>55</v>
      </c>
      <c r="F162">
        <v>33</v>
      </c>
      <c r="G162">
        <v>0</v>
      </c>
      <c r="H162">
        <v>0</v>
      </c>
      <c r="I162">
        <v>33</v>
      </c>
      <c r="J162">
        <v>0</v>
      </c>
      <c r="K162">
        <v>32</v>
      </c>
      <c r="L162">
        <v>38</v>
      </c>
      <c r="M162">
        <v>0</v>
      </c>
      <c r="N162">
        <v>2</v>
      </c>
      <c r="O162">
        <v>0</v>
      </c>
      <c r="P162">
        <v>28</v>
      </c>
      <c r="Q162">
        <v>28</v>
      </c>
      <c r="R162">
        <v>23</v>
      </c>
      <c r="S162">
        <v>28</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15</v>
      </c>
      <c r="AW162">
        <v>0</v>
      </c>
      <c r="AX162">
        <v>0</v>
      </c>
      <c r="AY162">
        <v>0</v>
      </c>
    </row>
    <row r="163" spans="1:51" x14ac:dyDescent="0.3">
      <c r="A163" t="s">
        <v>181</v>
      </c>
      <c r="B163" t="s">
        <v>52</v>
      </c>
      <c r="C163" t="s">
        <v>258</v>
      </c>
      <c r="D163" t="s">
        <v>259</v>
      </c>
      <c r="E163" t="s">
        <v>55</v>
      </c>
      <c r="F163">
        <v>59</v>
      </c>
      <c r="G163">
        <v>0</v>
      </c>
      <c r="H163">
        <v>0</v>
      </c>
      <c r="I163">
        <v>59</v>
      </c>
      <c r="J163">
        <v>0</v>
      </c>
      <c r="K163">
        <v>55</v>
      </c>
      <c r="L163">
        <v>348</v>
      </c>
      <c r="M163">
        <v>0</v>
      </c>
      <c r="N163">
        <v>0</v>
      </c>
      <c r="O163">
        <v>0</v>
      </c>
      <c r="P163">
        <v>52</v>
      </c>
      <c r="Q163">
        <v>52</v>
      </c>
      <c r="R163">
        <v>56</v>
      </c>
      <c r="S163">
        <v>0</v>
      </c>
      <c r="T163">
        <v>0</v>
      </c>
      <c r="U163">
        <v>0</v>
      </c>
      <c r="V163">
        <v>0</v>
      </c>
      <c r="W163">
        <v>0</v>
      </c>
      <c r="X163">
        <v>47</v>
      </c>
      <c r="Y163">
        <v>4</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24</v>
      </c>
      <c r="AW163">
        <v>0</v>
      </c>
      <c r="AX163">
        <v>0</v>
      </c>
      <c r="AY163">
        <v>0</v>
      </c>
    </row>
    <row r="164" spans="1:51" x14ac:dyDescent="0.3">
      <c r="A164" t="s">
        <v>181</v>
      </c>
      <c r="B164" t="s">
        <v>52</v>
      </c>
      <c r="C164" t="s">
        <v>242</v>
      </c>
      <c r="D164" t="s">
        <v>260</v>
      </c>
      <c r="E164" t="s">
        <v>55</v>
      </c>
      <c r="F164">
        <v>32</v>
      </c>
      <c r="G164">
        <v>0</v>
      </c>
      <c r="H164">
        <v>0</v>
      </c>
      <c r="I164">
        <v>32</v>
      </c>
      <c r="J164">
        <v>0</v>
      </c>
      <c r="K164">
        <v>32</v>
      </c>
      <c r="L164">
        <v>202</v>
      </c>
      <c r="M164">
        <v>0</v>
      </c>
      <c r="N164">
        <v>0</v>
      </c>
      <c r="O164">
        <v>0</v>
      </c>
      <c r="P164">
        <v>31</v>
      </c>
      <c r="Q164">
        <v>31</v>
      </c>
      <c r="R164">
        <v>29</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7</v>
      </c>
      <c r="AW164">
        <v>0</v>
      </c>
      <c r="AX164">
        <v>0</v>
      </c>
      <c r="AY164">
        <v>0</v>
      </c>
    </row>
    <row r="165" spans="1:51" x14ac:dyDescent="0.3">
      <c r="A165" t="s">
        <v>181</v>
      </c>
      <c r="B165" t="s">
        <v>52</v>
      </c>
      <c r="C165" t="s">
        <v>261</v>
      </c>
      <c r="D165" t="s">
        <v>262</v>
      </c>
      <c r="E165" t="s">
        <v>55</v>
      </c>
      <c r="F165">
        <v>19</v>
      </c>
      <c r="G165">
        <v>0</v>
      </c>
      <c r="H165">
        <v>0</v>
      </c>
      <c r="I165">
        <v>19</v>
      </c>
      <c r="J165">
        <v>0</v>
      </c>
      <c r="K165">
        <v>15</v>
      </c>
      <c r="L165">
        <v>76</v>
      </c>
      <c r="M165">
        <v>6</v>
      </c>
      <c r="N165">
        <v>3</v>
      </c>
      <c r="O165">
        <v>1</v>
      </c>
      <c r="P165">
        <v>10</v>
      </c>
      <c r="Q165">
        <v>10</v>
      </c>
      <c r="R165">
        <v>18</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row>
    <row r="166" spans="1:51" x14ac:dyDescent="0.3">
      <c r="A166" t="s">
        <v>181</v>
      </c>
      <c r="B166" t="s">
        <v>52</v>
      </c>
      <c r="C166" t="s">
        <v>261</v>
      </c>
      <c r="D166" t="s">
        <v>263</v>
      </c>
      <c r="E166" t="s">
        <v>55</v>
      </c>
      <c r="F166">
        <v>71</v>
      </c>
      <c r="G166">
        <v>0</v>
      </c>
      <c r="H166">
        <v>0</v>
      </c>
      <c r="I166">
        <v>71</v>
      </c>
      <c r="J166">
        <v>0</v>
      </c>
      <c r="K166">
        <v>70</v>
      </c>
      <c r="L166">
        <v>449</v>
      </c>
      <c r="M166">
        <v>0</v>
      </c>
      <c r="N166">
        <v>0</v>
      </c>
      <c r="O166">
        <v>0</v>
      </c>
      <c r="P166">
        <v>50</v>
      </c>
      <c r="Q166">
        <v>50</v>
      </c>
      <c r="R166">
        <v>43</v>
      </c>
      <c r="S166">
        <v>0</v>
      </c>
      <c r="T166">
        <v>0</v>
      </c>
      <c r="U166">
        <v>0</v>
      </c>
      <c r="V166">
        <v>0</v>
      </c>
      <c r="W166">
        <v>0</v>
      </c>
      <c r="X166">
        <v>0</v>
      </c>
      <c r="Y166">
        <v>0</v>
      </c>
      <c r="Z166">
        <v>0</v>
      </c>
      <c r="AA166">
        <v>0</v>
      </c>
      <c r="AB166">
        <v>0</v>
      </c>
      <c r="AC166">
        <v>0</v>
      </c>
      <c r="AD166">
        <v>0</v>
      </c>
      <c r="AE166">
        <v>0</v>
      </c>
      <c r="AF166">
        <v>0</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row>
    <row r="167" spans="1:51" x14ac:dyDescent="0.3">
      <c r="A167" t="s">
        <v>181</v>
      </c>
      <c r="B167" t="s">
        <v>52</v>
      </c>
      <c r="C167" t="s">
        <v>261</v>
      </c>
      <c r="D167" t="s">
        <v>264</v>
      </c>
      <c r="E167" t="s">
        <v>55</v>
      </c>
      <c r="F167">
        <v>69</v>
      </c>
      <c r="G167">
        <v>0</v>
      </c>
      <c r="H167">
        <v>0</v>
      </c>
      <c r="I167">
        <v>69</v>
      </c>
      <c r="J167">
        <v>0</v>
      </c>
      <c r="K167">
        <v>60</v>
      </c>
      <c r="L167">
        <v>384</v>
      </c>
      <c r="M167">
        <v>0</v>
      </c>
      <c r="N167">
        <v>0</v>
      </c>
      <c r="O167">
        <v>0</v>
      </c>
      <c r="P167">
        <v>54</v>
      </c>
      <c r="Q167">
        <v>54</v>
      </c>
      <c r="R167">
        <v>35</v>
      </c>
      <c r="S167">
        <v>0</v>
      </c>
      <c r="T167">
        <v>0</v>
      </c>
      <c r="U167">
        <v>0</v>
      </c>
      <c r="V167">
        <v>0</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row>
    <row r="168" spans="1:51" x14ac:dyDescent="0.3">
      <c r="A168" t="s">
        <v>181</v>
      </c>
      <c r="B168" t="s">
        <v>52</v>
      </c>
      <c r="C168" t="s">
        <v>254</v>
      </c>
      <c r="D168" t="s">
        <v>265</v>
      </c>
      <c r="E168" t="s">
        <v>55</v>
      </c>
      <c r="F168">
        <v>29</v>
      </c>
      <c r="G168">
        <v>0</v>
      </c>
      <c r="H168">
        <v>0</v>
      </c>
      <c r="I168">
        <v>29</v>
      </c>
      <c r="J168">
        <v>0</v>
      </c>
      <c r="K168">
        <v>29</v>
      </c>
      <c r="L168">
        <v>155</v>
      </c>
      <c r="M168">
        <v>4</v>
      </c>
      <c r="N168">
        <v>6</v>
      </c>
      <c r="O168">
        <v>1</v>
      </c>
      <c r="P168">
        <v>22</v>
      </c>
      <c r="Q168">
        <v>22</v>
      </c>
      <c r="R168">
        <v>2</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row>
    <row r="169" spans="1:51" x14ac:dyDescent="0.3">
      <c r="A169" t="s">
        <v>181</v>
      </c>
      <c r="B169" t="s">
        <v>52</v>
      </c>
      <c r="C169" t="s">
        <v>254</v>
      </c>
      <c r="D169" t="s">
        <v>266</v>
      </c>
      <c r="E169" t="s">
        <v>55</v>
      </c>
      <c r="F169">
        <v>24</v>
      </c>
      <c r="G169">
        <v>0</v>
      </c>
      <c r="H169">
        <v>0</v>
      </c>
      <c r="I169">
        <v>24</v>
      </c>
      <c r="J169">
        <v>0</v>
      </c>
      <c r="K169">
        <v>24</v>
      </c>
      <c r="L169">
        <v>124</v>
      </c>
      <c r="M169">
        <v>4</v>
      </c>
      <c r="N169">
        <v>6</v>
      </c>
      <c r="O169">
        <v>0</v>
      </c>
      <c r="P169">
        <v>27</v>
      </c>
      <c r="Q169">
        <v>27</v>
      </c>
      <c r="R169">
        <v>2</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row>
    <row r="170" spans="1:51" x14ac:dyDescent="0.3">
      <c r="A170" t="s">
        <v>181</v>
      </c>
      <c r="B170" t="s">
        <v>52</v>
      </c>
      <c r="C170" t="s">
        <v>267</v>
      </c>
      <c r="D170" t="s">
        <v>268</v>
      </c>
      <c r="E170" t="s">
        <v>55</v>
      </c>
      <c r="F170">
        <v>31</v>
      </c>
      <c r="G170">
        <v>0</v>
      </c>
      <c r="H170">
        <v>0</v>
      </c>
      <c r="I170">
        <v>31</v>
      </c>
      <c r="J170">
        <v>0</v>
      </c>
      <c r="K170">
        <v>29</v>
      </c>
      <c r="L170">
        <v>179</v>
      </c>
      <c r="M170">
        <v>0</v>
      </c>
      <c r="N170">
        <v>0</v>
      </c>
      <c r="O170">
        <v>0</v>
      </c>
      <c r="P170">
        <v>30</v>
      </c>
      <c r="Q170">
        <v>30</v>
      </c>
      <c r="R170">
        <v>31</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7</v>
      </c>
      <c r="AW170">
        <v>0</v>
      </c>
      <c r="AX170">
        <v>0</v>
      </c>
      <c r="AY170">
        <v>0</v>
      </c>
    </row>
    <row r="171" spans="1:51" x14ac:dyDescent="0.3">
      <c r="A171" t="s">
        <v>181</v>
      </c>
      <c r="B171" t="s">
        <v>52</v>
      </c>
      <c r="C171" t="s">
        <v>269</v>
      </c>
      <c r="D171" t="s">
        <v>270</v>
      </c>
      <c r="E171" t="s">
        <v>55</v>
      </c>
      <c r="F171">
        <v>19</v>
      </c>
      <c r="G171">
        <v>0</v>
      </c>
      <c r="H171">
        <v>0</v>
      </c>
      <c r="I171">
        <v>19</v>
      </c>
      <c r="J171">
        <v>0</v>
      </c>
      <c r="K171">
        <v>19</v>
      </c>
      <c r="L171">
        <v>123</v>
      </c>
      <c r="M171">
        <v>4</v>
      </c>
      <c r="N171">
        <v>0</v>
      </c>
      <c r="O171">
        <v>0</v>
      </c>
      <c r="P171">
        <v>12</v>
      </c>
      <c r="Q171">
        <v>12</v>
      </c>
      <c r="R171">
        <v>11</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3</v>
      </c>
      <c r="AW171">
        <v>0</v>
      </c>
      <c r="AX171">
        <v>0</v>
      </c>
      <c r="AY171">
        <v>0</v>
      </c>
    </row>
    <row r="172" spans="1:51" x14ac:dyDescent="0.3">
      <c r="A172" t="s">
        <v>181</v>
      </c>
      <c r="B172" t="s">
        <v>52</v>
      </c>
      <c r="C172" t="s">
        <v>250</v>
      </c>
      <c r="D172" t="s">
        <v>271</v>
      </c>
      <c r="E172" t="s">
        <v>55</v>
      </c>
      <c r="F172">
        <v>22</v>
      </c>
      <c r="G172">
        <v>0</v>
      </c>
      <c r="H172">
        <v>0</v>
      </c>
      <c r="I172">
        <v>22</v>
      </c>
      <c r="J172">
        <v>0</v>
      </c>
      <c r="K172">
        <v>19</v>
      </c>
      <c r="L172">
        <v>137</v>
      </c>
      <c r="M172">
        <v>3</v>
      </c>
      <c r="N172">
        <v>5</v>
      </c>
      <c r="O172">
        <v>0</v>
      </c>
      <c r="P172">
        <v>18</v>
      </c>
      <c r="Q172">
        <v>18</v>
      </c>
      <c r="R172">
        <v>32</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row>
    <row r="173" spans="1:51" x14ac:dyDescent="0.3">
      <c r="A173" t="s">
        <v>181</v>
      </c>
      <c r="B173" t="s">
        <v>52</v>
      </c>
      <c r="C173" t="s">
        <v>272</v>
      </c>
      <c r="D173" t="s">
        <v>273</v>
      </c>
      <c r="E173" t="s">
        <v>55</v>
      </c>
      <c r="F173">
        <v>49</v>
      </c>
      <c r="G173">
        <v>0</v>
      </c>
      <c r="H173">
        <v>0</v>
      </c>
      <c r="I173">
        <v>49</v>
      </c>
      <c r="J173">
        <v>0</v>
      </c>
      <c r="K173">
        <v>49</v>
      </c>
      <c r="L173">
        <v>285</v>
      </c>
      <c r="M173">
        <v>6</v>
      </c>
      <c r="N173">
        <v>4</v>
      </c>
      <c r="O173">
        <v>0</v>
      </c>
      <c r="P173">
        <v>33</v>
      </c>
      <c r="Q173">
        <v>33</v>
      </c>
      <c r="R173">
        <v>24</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row>
    <row r="174" spans="1:51" x14ac:dyDescent="0.3">
      <c r="A174" t="s">
        <v>181</v>
      </c>
      <c r="B174" t="s">
        <v>52</v>
      </c>
      <c r="C174" t="s">
        <v>269</v>
      </c>
      <c r="D174" t="s">
        <v>274</v>
      </c>
      <c r="E174" t="s">
        <v>55</v>
      </c>
      <c r="F174">
        <v>36</v>
      </c>
      <c r="G174">
        <v>0</v>
      </c>
      <c r="H174">
        <v>0</v>
      </c>
      <c r="I174">
        <v>36</v>
      </c>
      <c r="J174">
        <v>0</v>
      </c>
      <c r="K174">
        <v>36</v>
      </c>
      <c r="L174">
        <v>215</v>
      </c>
      <c r="M174">
        <v>4</v>
      </c>
      <c r="N174">
        <v>2</v>
      </c>
      <c r="O174">
        <v>0</v>
      </c>
      <c r="P174">
        <v>32</v>
      </c>
      <c r="Q174">
        <v>32</v>
      </c>
      <c r="R174">
        <v>19</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14</v>
      </c>
      <c r="AW174">
        <v>0</v>
      </c>
      <c r="AX174">
        <v>0</v>
      </c>
      <c r="AY174">
        <v>0</v>
      </c>
    </row>
    <row r="175" spans="1:51" x14ac:dyDescent="0.3">
      <c r="A175" t="s">
        <v>181</v>
      </c>
      <c r="B175" t="s">
        <v>52</v>
      </c>
      <c r="C175" t="s">
        <v>242</v>
      </c>
      <c r="D175" t="s">
        <v>275</v>
      </c>
      <c r="E175" t="s">
        <v>55</v>
      </c>
      <c r="F175">
        <v>23</v>
      </c>
      <c r="G175">
        <v>0</v>
      </c>
      <c r="H175">
        <v>0</v>
      </c>
      <c r="I175">
        <v>23</v>
      </c>
      <c r="J175">
        <v>0</v>
      </c>
      <c r="K175">
        <v>23</v>
      </c>
      <c r="L175">
        <v>116</v>
      </c>
      <c r="M175">
        <v>0</v>
      </c>
      <c r="N175">
        <v>1</v>
      </c>
      <c r="O175">
        <v>0</v>
      </c>
      <c r="P175">
        <v>14</v>
      </c>
      <c r="Q175">
        <v>14</v>
      </c>
      <c r="R175">
        <v>19</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9</v>
      </c>
      <c r="AW175">
        <v>0</v>
      </c>
      <c r="AX175">
        <v>0</v>
      </c>
      <c r="AY175">
        <v>0</v>
      </c>
    </row>
    <row r="176" spans="1:51" x14ac:dyDescent="0.3">
      <c r="A176" t="s">
        <v>181</v>
      </c>
      <c r="B176" t="s">
        <v>52</v>
      </c>
      <c r="C176" t="s">
        <v>254</v>
      </c>
      <c r="D176" t="s">
        <v>276</v>
      </c>
      <c r="E176" t="s">
        <v>55</v>
      </c>
      <c r="F176">
        <v>17</v>
      </c>
      <c r="G176">
        <v>0</v>
      </c>
      <c r="H176">
        <v>0</v>
      </c>
      <c r="I176">
        <v>17</v>
      </c>
      <c r="J176">
        <v>0</v>
      </c>
      <c r="K176">
        <v>17</v>
      </c>
      <c r="L176">
        <v>116</v>
      </c>
      <c r="M176">
        <v>0</v>
      </c>
      <c r="N176">
        <v>0</v>
      </c>
      <c r="O176">
        <v>0</v>
      </c>
      <c r="P176">
        <v>13</v>
      </c>
      <c r="Q176">
        <v>13</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row>
    <row r="177" spans="1:51" x14ac:dyDescent="0.3">
      <c r="A177" t="s">
        <v>181</v>
      </c>
      <c r="B177" t="s">
        <v>52</v>
      </c>
      <c r="C177" t="s">
        <v>261</v>
      </c>
      <c r="D177" t="s">
        <v>277</v>
      </c>
      <c r="E177" t="s">
        <v>55</v>
      </c>
      <c r="F177">
        <v>49</v>
      </c>
      <c r="G177">
        <v>0</v>
      </c>
      <c r="H177">
        <v>0</v>
      </c>
      <c r="I177">
        <v>49</v>
      </c>
      <c r="J177">
        <v>0</v>
      </c>
      <c r="K177">
        <v>49</v>
      </c>
      <c r="L177">
        <v>309</v>
      </c>
      <c r="M177">
        <v>11</v>
      </c>
      <c r="N177">
        <v>15</v>
      </c>
      <c r="O177">
        <v>3</v>
      </c>
      <c r="P177">
        <v>58</v>
      </c>
      <c r="Q177">
        <v>42</v>
      </c>
      <c r="R177">
        <v>29</v>
      </c>
      <c r="S177">
        <v>6</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row>
    <row r="178" spans="1:51" x14ac:dyDescent="0.3">
      <c r="A178" t="s">
        <v>181</v>
      </c>
      <c r="B178" t="s">
        <v>52</v>
      </c>
      <c r="C178" t="s">
        <v>234</v>
      </c>
      <c r="D178" t="s">
        <v>278</v>
      </c>
      <c r="E178" t="s">
        <v>55</v>
      </c>
      <c r="F178">
        <v>39</v>
      </c>
      <c r="G178">
        <v>0</v>
      </c>
      <c r="H178">
        <v>0</v>
      </c>
      <c r="I178">
        <v>38</v>
      </c>
      <c r="J178">
        <v>0</v>
      </c>
      <c r="K178">
        <v>37</v>
      </c>
      <c r="L178">
        <v>175</v>
      </c>
      <c r="M178">
        <v>0</v>
      </c>
      <c r="N178">
        <v>0</v>
      </c>
      <c r="O178">
        <v>0</v>
      </c>
      <c r="P178">
        <v>23</v>
      </c>
      <c r="Q178">
        <v>23</v>
      </c>
      <c r="R178">
        <v>33</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row>
    <row r="179" spans="1:51" x14ac:dyDescent="0.3">
      <c r="A179" t="s">
        <v>181</v>
      </c>
      <c r="B179" t="s">
        <v>52</v>
      </c>
      <c r="C179" t="s">
        <v>269</v>
      </c>
      <c r="D179" t="s">
        <v>279</v>
      </c>
      <c r="E179" t="s">
        <v>55</v>
      </c>
      <c r="F179">
        <v>24</v>
      </c>
      <c r="G179">
        <v>0</v>
      </c>
      <c r="H179">
        <v>0</v>
      </c>
      <c r="I179">
        <v>24</v>
      </c>
      <c r="J179">
        <v>0</v>
      </c>
      <c r="K179">
        <v>24</v>
      </c>
      <c r="L179">
        <v>136</v>
      </c>
      <c r="M179">
        <v>0</v>
      </c>
      <c r="N179">
        <v>1</v>
      </c>
      <c r="O179">
        <v>1</v>
      </c>
      <c r="P179">
        <v>23</v>
      </c>
      <c r="Q179">
        <v>23</v>
      </c>
      <c r="R179">
        <v>19</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7</v>
      </c>
      <c r="AW179">
        <v>0</v>
      </c>
      <c r="AX179">
        <v>0</v>
      </c>
      <c r="AY179">
        <v>0</v>
      </c>
    </row>
    <row r="180" spans="1:51" x14ac:dyDescent="0.3">
      <c r="A180" t="s">
        <v>181</v>
      </c>
      <c r="B180" t="s">
        <v>52</v>
      </c>
      <c r="C180" t="s">
        <v>240</v>
      </c>
      <c r="D180" t="s">
        <v>280</v>
      </c>
      <c r="E180" t="s">
        <v>55</v>
      </c>
      <c r="F180">
        <v>21</v>
      </c>
      <c r="G180">
        <v>0</v>
      </c>
      <c r="H180">
        <v>0</v>
      </c>
      <c r="I180">
        <v>21</v>
      </c>
      <c r="J180">
        <v>0</v>
      </c>
      <c r="K180">
        <v>17</v>
      </c>
      <c r="L180">
        <v>121</v>
      </c>
      <c r="M180">
        <v>12</v>
      </c>
      <c r="N180">
        <v>6</v>
      </c>
      <c r="O180">
        <v>0</v>
      </c>
      <c r="P180">
        <v>17</v>
      </c>
      <c r="Q180">
        <v>17</v>
      </c>
      <c r="R180">
        <v>5</v>
      </c>
      <c r="S180">
        <v>4</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row>
    <row r="181" spans="1:51" x14ac:dyDescent="0.3">
      <c r="A181" t="s">
        <v>181</v>
      </c>
      <c r="B181" t="s">
        <v>52</v>
      </c>
      <c r="C181" t="s">
        <v>242</v>
      </c>
      <c r="D181" t="s">
        <v>281</v>
      </c>
      <c r="E181" t="s">
        <v>55</v>
      </c>
      <c r="F181">
        <v>26</v>
      </c>
      <c r="G181">
        <v>0</v>
      </c>
      <c r="H181">
        <v>0</v>
      </c>
      <c r="I181">
        <v>26</v>
      </c>
      <c r="J181">
        <v>0</v>
      </c>
      <c r="K181">
        <v>26</v>
      </c>
      <c r="L181">
        <v>118</v>
      </c>
      <c r="M181">
        <v>0</v>
      </c>
      <c r="N181">
        <v>2</v>
      </c>
      <c r="O181">
        <v>0</v>
      </c>
      <c r="P181">
        <v>13</v>
      </c>
      <c r="Q181">
        <v>13</v>
      </c>
      <c r="R181">
        <v>21</v>
      </c>
      <c r="S181">
        <v>0</v>
      </c>
      <c r="T181">
        <v>0</v>
      </c>
      <c r="U181">
        <v>0</v>
      </c>
      <c r="V181">
        <v>0</v>
      </c>
      <c r="W181">
        <v>0</v>
      </c>
      <c r="X181">
        <v>0</v>
      </c>
      <c r="Y181">
        <v>0</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0</v>
      </c>
      <c r="AT181">
        <v>0</v>
      </c>
      <c r="AU181">
        <v>0</v>
      </c>
      <c r="AV181">
        <v>13</v>
      </c>
      <c r="AW181">
        <v>0</v>
      </c>
      <c r="AX181">
        <v>0</v>
      </c>
      <c r="AY181">
        <v>0</v>
      </c>
    </row>
    <row r="182" spans="1:51" x14ac:dyDescent="0.3">
      <c r="A182" t="s">
        <v>181</v>
      </c>
      <c r="B182" t="s">
        <v>52</v>
      </c>
      <c r="C182" t="s">
        <v>242</v>
      </c>
      <c r="D182" t="s">
        <v>282</v>
      </c>
      <c r="E182" t="s">
        <v>55</v>
      </c>
      <c r="F182">
        <v>15</v>
      </c>
      <c r="G182">
        <v>0</v>
      </c>
      <c r="H182">
        <v>0</v>
      </c>
      <c r="I182">
        <v>15</v>
      </c>
      <c r="J182">
        <v>0</v>
      </c>
      <c r="K182">
        <v>15</v>
      </c>
      <c r="L182">
        <v>77</v>
      </c>
      <c r="M182">
        <v>0</v>
      </c>
      <c r="N182">
        <v>0</v>
      </c>
      <c r="O182">
        <v>0</v>
      </c>
      <c r="P182">
        <v>10</v>
      </c>
      <c r="Q182">
        <v>10</v>
      </c>
      <c r="R182">
        <v>14</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4</v>
      </c>
      <c r="AW182">
        <v>0</v>
      </c>
      <c r="AX182">
        <v>0</v>
      </c>
      <c r="AY182">
        <v>0</v>
      </c>
    </row>
    <row r="183" spans="1:51" x14ac:dyDescent="0.3">
      <c r="A183" t="s">
        <v>181</v>
      </c>
      <c r="B183" t="s">
        <v>52</v>
      </c>
      <c r="C183" t="s">
        <v>269</v>
      </c>
      <c r="D183" t="s">
        <v>283</v>
      </c>
      <c r="E183" t="s">
        <v>55</v>
      </c>
      <c r="F183">
        <v>24</v>
      </c>
      <c r="G183">
        <v>0</v>
      </c>
      <c r="H183">
        <v>0</v>
      </c>
      <c r="I183">
        <v>24</v>
      </c>
      <c r="J183">
        <v>0</v>
      </c>
      <c r="K183">
        <v>24</v>
      </c>
      <c r="L183">
        <v>123</v>
      </c>
      <c r="M183">
        <v>0</v>
      </c>
      <c r="N183">
        <v>3</v>
      </c>
      <c r="O183">
        <v>0</v>
      </c>
      <c r="P183">
        <v>23</v>
      </c>
      <c r="Q183">
        <v>23</v>
      </c>
      <c r="R183">
        <v>17</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4</v>
      </c>
      <c r="AW183">
        <v>0</v>
      </c>
      <c r="AX183">
        <v>0</v>
      </c>
      <c r="AY183">
        <v>0</v>
      </c>
    </row>
    <row r="184" spans="1:51" x14ac:dyDescent="0.3">
      <c r="A184" t="s">
        <v>181</v>
      </c>
      <c r="B184" t="s">
        <v>52</v>
      </c>
      <c r="C184" t="s">
        <v>284</v>
      </c>
      <c r="D184" t="s">
        <v>285</v>
      </c>
      <c r="E184" t="s">
        <v>55</v>
      </c>
      <c r="F184">
        <v>33</v>
      </c>
      <c r="G184">
        <v>0</v>
      </c>
      <c r="H184">
        <v>0</v>
      </c>
      <c r="I184">
        <v>33</v>
      </c>
      <c r="J184">
        <v>0</v>
      </c>
      <c r="K184">
        <v>33</v>
      </c>
      <c r="L184">
        <v>228</v>
      </c>
      <c r="M184">
        <v>6</v>
      </c>
      <c r="N184">
        <v>6</v>
      </c>
      <c r="O184">
        <v>1</v>
      </c>
      <c r="P184">
        <v>23</v>
      </c>
      <c r="Q184">
        <v>23</v>
      </c>
      <c r="R184">
        <v>23</v>
      </c>
      <c r="S184">
        <v>0</v>
      </c>
      <c r="T184">
        <v>0</v>
      </c>
      <c r="U184">
        <v>0</v>
      </c>
      <c r="V184">
        <v>0</v>
      </c>
      <c r="W184">
        <v>0</v>
      </c>
      <c r="X184">
        <v>0</v>
      </c>
      <c r="Y184">
        <v>9</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14</v>
      </c>
      <c r="AW184">
        <v>1</v>
      </c>
      <c r="AX184">
        <v>0</v>
      </c>
      <c r="AY184">
        <v>0</v>
      </c>
    </row>
    <row r="185" spans="1:51" x14ac:dyDescent="0.3">
      <c r="A185" t="s">
        <v>181</v>
      </c>
      <c r="B185" t="s">
        <v>52</v>
      </c>
      <c r="C185" t="s">
        <v>244</v>
      </c>
      <c r="D185" t="s">
        <v>286</v>
      </c>
      <c r="E185" t="s">
        <v>55</v>
      </c>
      <c r="F185">
        <v>18</v>
      </c>
      <c r="G185">
        <v>0</v>
      </c>
      <c r="H185">
        <v>0</v>
      </c>
      <c r="I185">
        <v>18</v>
      </c>
      <c r="J185">
        <v>0</v>
      </c>
      <c r="K185">
        <v>16</v>
      </c>
      <c r="L185">
        <v>123</v>
      </c>
      <c r="M185">
        <v>12</v>
      </c>
      <c r="N185">
        <v>8</v>
      </c>
      <c r="O185">
        <v>4</v>
      </c>
      <c r="P185">
        <v>17</v>
      </c>
      <c r="Q185">
        <v>17</v>
      </c>
      <c r="R185">
        <v>21</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48</v>
      </c>
      <c r="AO185">
        <v>0</v>
      </c>
      <c r="AP185">
        <v>0</v>
      </c>
      <c r="AQ185">
        <v>0</v>
      </c>
      <c r="AR185">
        <v>0</v>
      </c>
      <c r="AS185">
        <v>0</v>
      </c>
      <c r="AT185">
        <v>0</v>
      </c>
      <c r="AU185">
        <v>0</v>
      </c>
      <c r="AV185">
        <v>6</v>
      </c>
      <c r="AW185">
        <v>0</v>
      </c>
      <c r="AX185">
        <v>0</v>
      </c>
      <c r="AY185">
        <v>0</v>
      </c>
    </row>
    <row r="186" spans="1:51" x14ac:dyDescent="0.3">
      <c r="A186" t="s">
        <v>181</v>
      </c>
      <c r="B186" t="s">
        <v>52</v>
      </c>
      <c r="C186" t="s">
        <v>248</v>
      </c>
      <c r="D186" t="s">
        <v>287</v>
      </c>
      <c r="E186" t="s">
        <v>55</v>
      </c>
      <c r="F186">
        <v>38</v>
      </c>
      <c r="G186">
        <v>0</v>
      </c>
      <c r="H186">
        <v>0</v>
      </c>
      <c r="I186">
        <v>38</v>
      </c>
      <c r="J186">
        <v>0</v>
      </c>
      <c r="K186">
        <v>34</v>
      </c>
      <c r="L186">
        <v>348</v>
      </c>
      <c r="M186">
        <v>0</v>
      </c>
      <c r="N186">
        <v>0</v>
      </c>
      <c r="O186">
        <v>0</v>
      </c>
      <c r="P186">
        <v>31</v>
      </c>
      <c r="Q186">
        <v>31</v>
      </c>
      <c r="R186">
        <v>38</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row>
    <row r="187" spans="1:51" x14ac:dyDescent="0.3">
      <c r="A187" t="s">
        <v>181</v>
      </c>
      <c r="B187" t="s">
        <v>52</v>
      </c>
      <c r="C187" t="s">
        <v>254</v>
      </c>
      <c r="D187" t="s">
        <v>288</v>
      </c>
      <c r="E187" t="s">
        <v>55</v>
      </c>
      <c r="F187">
        <v>51</v>
      </c>
      <c r="G187">
        <v>0</v>
      </c>
      <c r="H187">
        <v>0</v>
      </c>
      <c r="I187">
        <v>51</v>
      </c>
      <c r="J187">
        <v>0</v>
      </c>
      <c r="K187">
        <v>51</v>
      </c>
      <c r="L187">
        <v>251</v>
      </c>
      <c r="M187">
        <v>3</v>
      </c>
      <c r="N187">
        <v>9</v>
      </c>
      <c r="O187">
        <v>2</v>
      </c>
      <c r="P187">
        <v>49</v>
      </c>
      <c r="Q187">
        <v>49</v>
      </c>
      <c r="R187">
        <v>4</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row>
    <row r="188" spans="1:51" x14ac:dyDescent="0.3">
      <c r="A188" t="s">
        <v>181</v>
      </c>
      <c r="B188" t="s">
        <v>52</v>
      </c>
      <c r="C188" t="s">
        <v>261</v>
      </c>
      <c r="D188" t="s">
        <v>289</v>
      </c>
      <c r="E188" t="s">
        <v>55</v>
      </c>
      <c r="F188">
        <v>37</v>
      </c>
      <c r="G188">
        <v>0</v>
      </c>
      <c r="H188">
        <v>0</v>
      </c>
      <c r="I188">
        <v>37</v>
      </c>
      <c r="J188">
        <v>0</v>
      </c>
      <c r="K188">
        <v>34</v>
      </c>
      <c r="L188">
        <v>188</v>
      </c>
      <c r="M188">
        <v>3</v>
      </c>
      <c r="N188">
        <v>9</v>
      </c>
      <c r="O188">
        <v>0</v>
      </c>
      <c r="P188">
        <v>26</v>
      </c>
      <c r="Q188">
        <v>26</v>
      </c>
      <c r="R188">
        <v>26</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row>
    <row r="189" spans="1:51" x14ac:dyDescent="0.3">
      <c r="A189" t="s">
        <v>181</v>
      </c>
      <c r="B189" t="s">
        <v>52</v>
      </c>
      <c r="C189" t="s">
        <v>250</v>
      </c>
      <c r="D189" t="s">
        <v>290</v>
      </c>
      <c r="E189" t="s">
        <v>55</v>
      </c>
      <c r="F189">
        <v>64</v>
      </c>
      <c r="G189">
        <v>0</v>
      </c>
      <c r="H189">
        <v>0</v>
      </c>
      <c r="I189">
        <v>64</v>
      </c>
      <c r="J189">
        <v>0</v>
      </c>
      <c r="K189">
        <v>59</v>
      </c>
      <c r="L189">
        <v>409</v>
      </c>
      <c r="M189">
        <v>3</v>
      </c>
      <c r="N189">
        <v>4</v>
      </c>
      <c r="O189">
        <v>0</v>
      </c>
      <c r="P189">
        <v>54</v>
      </c>
      <c r="Q189">
        <v>54</v>
      </c>
      <c r="R189">
        <v>61</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27</v>
      </c>
      <c r="AW189">
        <v>0</v>
      </c>
      <c r="AX189">
        <v>0</v>
      </c>
      <c r="AY189">
        <v>0</v>
      </c>
    </row>
    <row r="190" spans="1:51" x14ac:dyDescent="0.3">
      <c r="A190" t="s">
        <v>181</v>
      </c>
      <c r="B190" t="s">
        <v>52</v>
      </c>
      <c r="C190" t="s">
        <v>256</v>
      </c>
      <c r="D190" t="s">
        <v>291</v>
      </c>
      <c r="E190" t="s">
        <v>55</v>
      </c>
      <c r="F190">
        <v>21</v>
      </c>
      <c r="G190">
        <v>0</v>
      </c>
      <c r="H190">
        <v>0</v>
      </c>
      <c r="I190">
        <v>21</v>
      </c>
      <c r="J190">
        <v>0</v>
      </c>
      <c r="K190">
        <v>16</v>
      </c>
      <c r="L190">
        <v>26</v>
      </c>
      <c r="M190">
        <v>0</v>
      </c>
      <c r="N190">
        <v>0</v>
      </c>
      <c r="O190">
        <v>0</v>
      </c>
      <c r="P190">
        <v>15</v>
      </c>
      <c r="Q190">
        <v>14</v>
      </c>
      <c r="R190">
        <v>10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6</v>
      </c>
      <c r="AW190">
        <v>0</v>
      </c>
      <c r="AX190">
        <v>0</v>
      </c>
      <c r="AY190">
        <v>0</v>
      </c>
    </row>
    <row r="191" spans="1:51" x14ac:dyDescent="0.3">
      <c r="A191" t="s">
        <v>181</v>
      </c>
      <c r="B191" t="s">
        <v>52</v>
      </c>
      <c r="C191" t="s">
        <v>254</v>
      </c>
      <c r="D191" t="s">
        <v>292</v>
      </c>
      <c r="E191" t="s">
        <v>55</v>
      </c>
      <c r="F191">
        <v>43</v>
      </c>
      <c r="G191">
        <v>0</v>
      </c>
      <c r="H191">
        <v>0</v>
      </c>
      <c r="I191">
        <v>43</v>
      </c>
      <c r="J191">
        <v>0</v>
      </c>
      <c r="K191">
        <v>43</v>
      </c>
      <c r="L191">
        <v>203</v>
      </c>
      <c r="M191">
        <v>4</v>
      </c>
      <c r="N191">
        <v>8</v>
      </c>
      <c r="O191">
        <v>0</v>
      </c>
      <c r="P191">
        <v>42</v>
      </c>
      <c r="Q191">
        <v>42</v>
      </c>
      <c r="R191">
        <v>2</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row>
    <row r="192" spans="1:51" x14ac:dyDescent="0.3">
      <c r="A192" t="s">
        <v>181</v>
      </c>
      <c r="B192" t="s">
        <v>52</v>
      </c>
      <c r="C192" t="s">
        <v>272</v>
      </c>
      <c r="D192" t="s">
        <v>293</v>
      </c>
      <c r="E192" t="s">
        <v>55</v>
      </c>
      <c r="F192">
        <v>14</v>
      </c>
      <c r="G192">
        <v>0</v>
      </c>
      <c r="H192">
        <v>0</v>
      </c>
      <c r="I192">
        <v>14</v>
      </c>
      <c r="J192">
        <v>0</v>
      </c>
      <c r="K192">
        <v>14</v>
      </c>
      <c r="L192">
        <v>101</v>
      </c>
      <c r="M192">
        <v>0</v>
      </c>
      <c r="N192">
        <v>0</v>
      </c>
      <c r="O192">
        <v>0</v>
      </c>
      <c r="P192">
        <v>9</v>
      </c>
      <c r="Q192">
        <v>13</v>
      </c>
      <c r="R192">
        <v>7</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row>
    <row r="193" spans="1:51" x14ac:dyDescent="0.3">
      <c r="A193" t="s">
        <v>181</v>
      </c>
      <c r="B193" t="s">
        <v>52</v>
      </c>
      <c r="C193" t="s">
        <v>272</v>
      </c>
      <c r="D193" t="s">
        <v>294</v>
      </c>
      <c r="E193" t="s">
        <v>55</v>
      </c>
      <c r="F193">
        <v>39</v>
      </c>
      <c r="G193">
        <v>0</v>
      </c>
      <c r="H193">
        <v>0</v>
      </c>
      <c r="I193">
        <v>39</v>
      </c>
      <c r="J193">
        <v>0</v>
      </c>
      <c r="K193">
        <v>39</v>
      </c>
      <c r="L193">
        <v>265</v>
      </c>
      <c r="M193">
        <v>0</v>
      </c>
      <c r="N193">
        <v>0</v>
      </c>
      <c r="O193">
        <v>0</v>
      </c>
      <c r="P193">
        <v>37</v>
      </c>
      <c r="Q193">
        <v>37</v>
      </c>
      <c r="R193">
        <v>19</v>
      </c>
      <c r="S193">
        <v>2</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row>
    <row r="194" spans="1:51" x14ac:dyDescent="0.3">
      <c r="A194" t="s">
        <v>181</v>
      </c>
      <c r="B194" t="s">
        <v>52</v>
      </c>
      <c r="C194" t="s">
        <v>240</v>
      </c>
      <c r="D194" t="s">
        <v>295</v>
      </c>
      <c r="E194" t="s">
        <v>55</v>
      </c>
      <c r="F194">
        <v>19</v>
      </c>
      <c r="G194">
        <v>0</v>
      </c>
      <c r="H194">
        <v>0</v>
      </c>
      <c r="I194">
        <v>19</v>
      </c>
      <c r="J194">
        <v>0</v>
      </c>
      <c r="K194">
        <v>18</v>
      </c>
      <c r="L194">
        <v>121</v>
      </c>
      <c r="M194">
        <v>0</v>
      </c>
      <c r="N194">
        <v>0</v>
      </c>
      <c r="O194">
        <v>0</v>
      </c>
      <c r="P194">
        <v>12</v>
      </c>
      <c r="Q194">
        <v>14</v>
      </c>
      <c r="R194">
        <v>17</v>
      </c>
      <c r="S194">
        <v>1</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row>
    <row r="195" spans="1:51" x14ac:dyDescent="0.3">
      <c r="A195" t="s">
        <v>181</v>
      </c>
      <c r="B195" t="s">
        <v>52</v>
      </c>
      <c r="C195" t="s">
        <v>248</v>
      </c>
      <c r="D195" t="s">
        <v>296</v>
      </c>
      <c r="E195" t="s">
        <v>55</v>
      </c>
      <c r="F195">
        <v>32</v>
      </c>
      <c r="G195">
        <v>0</v>
      </c>
      <c r="H195">
        <v>0</v>
      </c>
      <c r="I195">
        <v>32</v>
      </c>
      <c r="J195">
        <v>0</v>
      </c>
      <c r="K195">
        <v>28</v>
      </c>
      <c r="L195">
        <v>330</v>
      </c>
      <c r="M195">
        <v>0</v>
      </c>
      <c r="N195">
        <v>2</v>
      </c>
      <c r="O195">
        <v>0</v>
      </c>
      <c r="P195">
        <v>35</v>
      </c>
      <c r="Q195">
        <v>35</v>
      </c>
      <c r="R195">
        <v>32</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row>
    <row r="196" spans="1:51" x14ac:dyDescent="0.3">
      <c r="A196" t="s">
        <v>181</v>
      </c>
      <c r="B196" t="s">
        <v>52</v>
      </c>
      <c r="C196" t="s">
        <v>258</v>
      </c>
      <c r="D196" t="s">
        <v>297</v>
      </c>
      <c r="E196" t="s">
        <v>55</v>
      </c>
      <c r="F196">
        <v>50</v>
      </c>
      <c r="G196">
        <v>0</v>
      </c>
      <c r="H196">
        <v>0</v>
      </c>
      <c r="I196">
        <v>50</v>
      </c>
      <c r="J196">
        <v>0</v>
      </c>
      <c r="K196">
        <v>48</v>
      </c>
      <c r="L196">
        <v>254</v>
      </c>
      <c r="M196">
        <v>0</v>
      </c>
      <c r="N196">
        <v>0</v>
      </c>
      <c r="O196">
        <v>0</v>
      </c>
      <c r="P196">
        <v>40</v>
      </c>
      <c r="Q196">
        <v>40</v>
      </c>
      <c r="R196">
        <v>49</v>
      </c>
      <c r="S196">
        <v>0</v>
      </c>
      <c r="T196">
        <v>0</v>
      </c>
      <c r="U196">
        <v>0</v>
      </c>
      <c r="V196">
        <v>0</v>
      </c>
      <c r="W196">
        <v>0</v>
      </c>
      <c r="X196">
        <v>38</v>
      </c>
      <c r="Y196">
        <v>2</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17</v>
      </c>
      <c r="AW196">
        <v>0</v>
      </c>
      <c r="AX196">
        <v>0</v>
      </c>
      <c r="AY196">
        <v>0</v>
      </c>
    </row>
    <row r="197" spans="1:51" x14ac:dyDescent="0.3">
      <c r="A197" t="s">
        <v>181</v>
      </c>
      <c r="B197" t="s">
        <v>52</v>
      </c>
      <c r="C197" t="s">
        <v>284</v>
      </c>
      <c r="D197" t="s">
        <v>298</v>
      </c>
      <c r="E197" t="s">
        <v>55</v>
      </c>
      <c r="F197">
        <v>30</v>
      </c>
      <c r="G197">
        <v>0</v>
      </c>
      <c r="H197">
        <v>0</v>
      </c>
      <c r="I197">
        <v>30</v>
      </c>
      <c r="J197">
        <v>0</v>
      </c>
      <c r="K197">
        <v>29</v>
      </c>
      <c r="L197">
        <v>175</v>
      </c>
      <c r="M197">
        <v>0</v>
      </c>
      <c r="N197">
        <v>0</v>
      </c>
      <c r="O197">
        <v>0</v>
      </c>
      <c r="P197">
        <v>33</v>
      </c>
      <c r="Q197">
        <v>33</v>
      </c>
      <c r="R197">
        <v>33</v>
      </c>
      <c r="S197">
        <v>0</v>
      </c>
      <c r="T197">
        <v>0</v>
      </c>
      <c r="U197">
        <v>0</v>
      </c>
      <c r="V197">
        <v>0</v>
      </c>
      <c r="W197">
        <v>0</v>
      </c>
      <c r="X197">
        <v>0</v>
      </c>
      <c r="Y197">
        <v>2</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11</v>
      </c>
      <c r="AW197">
        <v>1</v>
      </c>
      <c r="AX197">
        <v>0</v>
      </c>
      <c r="AY197">
        <v>0</v>
      </c>
    </row>
    <row r="198" spans="1:51" x14ac:dyDescent="0.3">
      <c r="A198" t="s">
        <v>181</v>
      </c>
      <c r="B198" t="s">
        <v>52</v>
      </c>
      <c r="C198" t="s">
        <v>299</v>
      </c>
      <c r="D198" t="s">
        <v>300</v>
      </c>
      <c r="E198" t="s">
        <v>55</v>
      </c>
      <c r="F198">
        <v>61</v>
      </c>
      <c r="G198">
        <v>0</v>
      </c>
      <c r="H198">
        <v>0</v>
      </c>
      <c r="I198">
        <v>61</v>
      </c>
      <c r="J198">
        <v>0</v>
      </c>
      <c r="K198">
        <v>61</v>
      </c>
      <c r="L198">
        <v>360</v>
      </c>
      <c r="M198">
        <v>0</v>
      </c>
      <c r="N198">
        <v>0</v>
      </c>
      <c r="O198">
        <v>0</v>
      </c>
      <c r="P198">
        <v>43</v>
      </c>
      <c r="Q198">
        <v>43</v>
      </c>
      <c r="R198">
        <v>4</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row>
    <row r="199" spans="1:51" x14ac:dyDescent="0.3">
      <c r="A199" t="s">
        <v>181</v>
      </c>
      <c r="B199" t="s">
        <v>52</v>
      </c>
      <c r="C199" t="s">
        <v>299</v>
      </c>
      <c r="D199" t="s">
        <v>301</v>
      </c>
      <c r="E199" t="s">
        <v>55</v>
      </c>
      <c r="F199">
        <v>56</v>
      </c>
      <c r="G199">
        <v>0</v>
      </c>
      <c r="H199">
        <v>0</v>
      </c>
      <c r="I199">
        <v>55</v>
      </c>
      <c r="J199">
        <v>0</v>
      </c>
      <c r="K199">
        <v>56</v>
      </c>
      <c r="L199">
        <v>382</v>
      </c>
      <c r="M199">
        <v>7</v>
      </c>
      <c r="N199">
        <v>5</v>
      </c>
      <c r="O199">
        <v>1</v>
      </c>
      <c r="P199">
        <v>39</v>
      </c>
      <c r="Q199">
        <v>39</v>
      </c>
      <c r="R199">
        <v>6</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row>
    <row r="200" spans="1:51" x14ac:dyDescent="0.3">
      <c r="A200" t="s">
        <v>181</v>
      </c>
      <c r="B200" t="s">
        <v>52</v>
      </c>
      <c r="C200" t="s">
        <v>258</v>
      </c>
      <c r="D200" t="s">
        <v>302</v>
      </c>
      <c r="E200" t="s">
        <v>55</v>
      </c>
      <c r="F200">
        <v>56</v>
      </c>
      <c r="G200">
        <v>0</v>
      </c>
      <c r="H200">
        <v>0</v>
      </c>
      <c r="I200">
        <v>56</v>
      </c>
      <c r="J200">
        <v>0</v>
      </c>
      <c r="K200">
        <v>54</v>
      </c>
      <c r="L200">
        <v>329</v>
      </c>
      <c r="M200">
        <v>0</v>
      </c>
      <c r="N200">
        <v>0</v>
      </c>
      <c r="O200">
        <v>0</v>
      </c>
      <c r="P200">
        <v>49</v>
      </c>
      <c r="Q200">
        <v>49</v>
      </c>
      <c r="R200">
        <v>55</v>
      </c>
      <c r="S200">
        <v>0</v>
      </c>
      <c r="T200">
        <v>0</v>
      </c>
      <c r="U200">
        <v>0</v>
      </c>
      <c r="V200">
        <v>0</v>
      </c>
      <c r="W200">
        <v>0</v>
      </c>
      <c r="X200">
        <v>44</v>
      </c>
      <c r="Y200">
        <v>6</v>
      </c>
      <c r="Z200">
        <v>0</v>
      </c>
      <c r="AA200">
        <v>0</v>
      </c>
      <c r="AB200">
        <v>0</v>
      </c>
      <c r="AC200">
        <v>0</v>
      </c>
      <c r="AD200">
        <v>0</v>
      </c>
      <c r="AE200">
        <v>0</v>
      </c>
      <c r="AF200">
        <v>0</v>
      </c>
      <c r="AG200">
        <v>0</v>
      </c>
      <c r="AH200">
        <v>0</v>
      </c>
      <c r="AI200">
        <v>0</v>
      </c>
      <c r="AJ200">
        <v>0</v>
      </c>
      <c r="AK200">
        <v>0</v>
      </c>
      <c r="AL200">
        <v>0</v>
      </c>
      <c r="AM200">
        <v>0</v>
      </c>
      <c r="AN200">
        <v>0</v>
      </c>
      <c r="AO200">
        <v>0</v>
      </c>
      <c r="AP200">
        <v>0</v>
      </c>
      <c r="AQ200">
        <v>0</v>
      </c>
      <c r="AR200">
        <v>0</v>
      </c>
      <c r="AS200">
        <v>0</v>
      </c>
      <c r="AT200">
        <v>0</v>
      </c>
      <c r="AU200">
        <v>0</v>
      </c>
      <c r="AV200">
        <v>23</v>
      </c>
      <c r="AW200">
        <v>0</v>
      </c>
      <c r="AX200">
        <v>0</v>
      </c>
      <c r="AY200">
        <v>0</v>
      </c>
    </row>
    <row r="201" spans="1:51" x14ac:dyDescent="0.3">
      <c r="A201" t="s">
        <v>181</v>
      </c>
      <c r="B201" t="s">
        <v>52</v>
      </c>
      <c r="C201" t="s">
        <v>267</v>
      </c>
      <c r="D201" t="s">
        <v>303</v>
      </c>
      <c r="E201" t="s">
        <v>55</v>
      </c>
      <c r="F201">
        <v>16</v>
      </c>
      <c r="G201">
        <v>0</v>
      </c>
      <c r="H201">
        <v>0</v>
      </c>
      <c r="I201">
        <v>16</v>
      </c>
      <c r="J201">
        <v>0</v>
      </c>
      <c r="K201">
        <v>16</v>
      </c>
      <c r="L201">
        <v>92</v>
      </c>
      <c r="M201">
        <v>7</v>
      </c>
      <c r="N201">
        <v>3</v>
      </c>
      <c r="O201">
        <v>0</v>
      </c>
      <c r="P201">
        <v>12</v>
      </c>
      <c r="Q201">
        <v>12</v>
      </c>
      <c r="R201">
        <v>15</v>
      </c>
      <c r="S201">
        <v>0</v>
      </c>
      <c r="T201">
        <v>0</v>
      </c>
      <c r="U201">
        <v>0</v>
      </c>
      <c r="V201">
        <v>0</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0</v>
      </c>
      <c r="AT201">
        <v>0</v>
      </c>
      <c r="AU201">
        <v>0</v>
      </c>
      <c r="AV201">
        <v>3</v>
      </c>
      <c r="AW201">
        <v>0</v>
      </c>
      <c r="AX201">
        <v>0</v>
      </c>
      <c r="AY201">
        <v>0</v>
      </c>
    </row>
    <row r="202" spans="1:51" x14ac:dyDescent="0.3">
      <c r="A202" t="s">
        <v>181</v>
      </c>
      <c r="B202" t="s">
        <v>52</v>
      </c>
      <c r="C202" t="s">
        <v>304</v>
      </c>
      <c r="D202" t="s">
        <v>305</v>
      </c>
      <c r="E202" t="s">
        <v>55</v>
      </c>
      <c r="F202">
        <v>174</v>
      </c>
      <c r="G202">
        <v>0</v>
      </c>
      <c r="H202">
        <v>0</v>
      </c>
      <c r="I202">
        <v>174</v>
      </c>
      <c r="J202">
        <v>0</v>
      </c>
      <c r="K202">
        <v>173</v>
      </c>
      <c r="L202">
        <v>953</v>
      </c>
      <c r="M202">
        <v>2</v>
      </c>
      <c r="N202">
        <v>2</v>
      </c>
      <c r="O202">
        <v>1</v>
      </c>
      <c r="P202">
        <v>153</v>
      </c>
      <c r="Q202">
        <v>153</v>
      </c>
      <c r="R202">
        <v>0</v>
      </c>
      <c r="S202">
        <v>0</v>
      </c>
      <c r="T202">
        <v>0</v>
      </c>
      <c r="U202">
        <v>0</v>
      </c>
      <c r="V202">
        <v>0</v>
      </c>
      <c r="W202">
        <v>0</v>
      </c>
      <c r="X202">
        <v>35</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row>
    <row r="203" spans="1:51" x14ac:dyDescent="0.3">
      <c r="A203" t="s">
        <v>181</v>
      </c>
      <c r="B203" t="s">
        <v>52</v>
      </c>
      <c r="C203" t="s">
        <v>244</v>
      </c>
      <c r="D203" t="s">
        <v>306</v>
      </c>
      <c r="E203" t="s">
        <v>55</v>
      </c>
      <c r="F203">
        <v>30</v>
      </c>
      <c r="G203">
        <v>0</v>
      </c>
      <c r="H203">
        <v>1</v>
      </c>
      <c r="I203">
        <v>29</v>
      </c>
      <c r="J203">
        <v>0</v>
      </c>
      <c r="K203">
        <v>30</v>
      </c>
      <c r="L203">
        <v>113</v>
      </c>
      <c r="M203">
        <v>2</v>
      </c>
      <c r="N203">
        <v>0</v>
      </c>
      <c r="O203">
        <v>0</v>
      </c>
      <c r="P203">
        <v>16</v>
      </c>
      <c r="Q203">
        <v>16</v>
      </c>
      <c r="R203">
        <v>18</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42</v>
      </c>
      <c r="AO203">
        <v>0</v>
      </c>
      <c r="AP203">
        <v>0</v>
      </c>
      <c r="AQ203">
        <v>0</v>
      </c>
      <c r="AR203">
        <v>0</v>
      </c>
      <c r="AS203">
        <v>0</v>
      </c>
      <c r="AT203">
        <v>0</v>
      </c>
      <c r="AU203">
        <v>0</v>
      </c>
      <c r="AV203">
        <v>4</v>
      </c>
      <c r="AW203">
        <v>0</v>
      </c>
      <c r="AX203">
        <v>0</v>
      </c>
      <c r="AY203">
        <v>0</v>
      </c>
    </row>
    <row r="204" spans="1:51" x14ac:dyDescent="0.3">
      <c r="A204" t="s">
        <v>181</v>
      </c>
      <c r="B204" t="s">
        <v>52</v>
      </c>
      <c r="C204" t="s">
        <v>269</v>
      </c>
      <c r="D204" t="s">
        <v>307</v>
      </c>
      <c r="E204" t="s">
        <v>55</v>
      </c>
      <c r="F204">
        <v>28</v>
      </c>
      <c r="G204">
        <v>0</v>
      </c>
      <c r="H204">
        <v>0</v>
      </c>
      <c r="I204">
        <v>28</v>
      </c>
      <c r="J204">
        <v>0</v>
      </c>
      <c r="K204">
        <v>28</v>
      </c>
      <c r="L204">
        <v>168</v>
      </c>
      <c r="M204">
        <v>1</v>
      </c>
      <c r="N204">
        <v>2</v>
      </c>
      <c r="O204">
        <v>0</v>
      </c>
      <c r="P204">
        <v>21</v>
      </c>
      <c r="Q204">
        <v>21</v>
      </c>
      <c r="R204">
        <v>18</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9</v>
      </c>
      <c r="AW204">
        <v>0</v>
      </c>
      <c r="AX204">
        <v>0</v>
      </c>
      <c r="AY204">
        <v>0</v>
      </c>
    </row>
    <row r="205" spans="1:51" x14ac:dyDescent="0.3">
      <c r="A205" t="s">
        <v>181</v>
      </c>
      <c r="B205" t="s">
        <v>52</v>
      </c>
      <c r="C205" t="s">
        <v>244</v>
      </c>
      <c r="D205" t="s">
        <v>308</v>
      </c>
      <c r="E205" t="s">
        <v>55</v>
      </c>
      <c r="F205">
        <v>39</v>
      </c>
      <c r="G205">
        <v>0</v>
      </c>
      <c r="H205">
        <v>0</v>
      </c>
      <c r="I205">
        <v>39</v>
      </c>
      <c r="J205">
        <v>0</v>
      </c>
      <c r="K205">
        <v>38</v>
      </c>
      <c r="L205">
        <v>213</v>
      </c>
      <c r="M205">
        <v>7</v>
      </c>
      <c r="N205">
        <v>5</v>
      </c>
      <c r="O205">
        <v>0</v>
      </c>
      <c r="P205">
        <v>21</v>
      </c>
      <c r="Q205">
        <v>21</v>
      </c>
      <c r="R205">
        <v>28</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87</v>
      </c>
      <c r="AO205">
        <v>0</v>
      </c>
      <c r="AP205">
        <v>0</v>
      </c>
      <c r="AQ205">
        <v>0</v>
      </c>
      <c r="AR205">
        <v>0</v>
      </c>
      <c r="AS205">
        <v>0</v>
      </c>
      <c r="AT205">
        <v>0</v>
      </c>
      <c r="AU205">
        <v>0</v>
      </c>
      <c r="AV205">
        <v>10</v>
      </c>
      <c r="AW205">
        <v>0</v>
      </c>
      <c r="AX205">
        <v>0</v>
      </c>
      <c r="AY205">
        <v>0</v>
      </c>
    </row>
    <row r="206" spans="1:51" x14ac:dyDescent="0.3">
      <c r="A206" t="s">
        <v>181</v>
      </c>
      <c r="B206" t="s">
        <v>52</v>
      </c>
      <c r="C206" t="s">
        <v>267</v>
      </c>
      <c r="D206" t="s">
        <v>309</v>
      </c>
      <c r="E206" t="s">
        <v>55</v>
      </c>
      <c r="F206">
        <v>24</v>
      </c>
      <c r="G206">
        <v>0</v>
      </c>
      <c r="H206">
        <v>0</v>
      </c>
      <c r="I206">
        <v>24</v>
      </c>
      <c r="J206">
        <v>0</v>
      </c>
      <c r="K206">
        <v>24</v>
      </c>
      <c r="L206">
        <v>127</v>
      </c>
      <c r="M206">
        <v>5</v>
      </c>
      <c r="N206">
        <v>6</v>
      </c>
      <c r="O206">
        <v>0</v>
      </c>
      <c r="P206">
        <v>20</v>
      </c>
      <c r="Q206">
        <v>20</v>
      </c>
      <c r="R206">
        <v>17</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row>
    <row r="207" spans="1:51" x14ac:dyDescent="0.3">
      <c r="A207" t="s">
        <v>181</v>
      </c>
      <c r="B207" t="s">
        <v>52</v>
      </c>
      <c r="C207" t="s">
        <v>244</v>
      </c>
      <c r="D207" t="s">
        <v>310</v>
      </c>
      <c r="E207" t="s">
        <v>55</v>
      </c>
      <c r="F207">
        <v>21</v>
      </c>
      <c r="G207">
        <v>0</v>
      </c>
      <c r="H207">
        <v>0</v>
      </c>
      <c r="I207">
        <v>21</v>
      </c>
      <c r="J207">
        <v>0</v>
      </c>
      <c r="K207">
        <v>20</v>
      </c>
      <c r="L207">
        <v>139</v>
      </c>
      <c r="M207">
        <v>7</v>
      </c>
      <c r="N207">
        <v>3</v>
      </c>
      <c r="O207">
        <v>0</v>
      </c>
      <c r="P207">
        <v>11</v>
      </c>
      <c r="Q207">
        <v>11</v>
      </c>
      <c r="R207">
        <v>12</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38</v>
      </c>
      <c r="AO207">
        <v>0</v>
      </c>
      <c r="AP207">
        <v>0</v>
      </c>
      <c r="AQ207">
        <v>0</v>
      </c>
      <c r="AR207">
        <v>0</v>
      </c>
      <c r="AS207">
        <v>0</v>
      </c>
      <c r="AT207">
        <v>0</v>
      </c>
      <c r="AU207">
        <v>0</v>
      </c>
      <c r="AV207">
        <v>7</v>
      </c>
      <c r="AW207">
        <v>0</v>
      </c>
      <c r="AX207">
        <v>0</v>
      </c>
      <c r="AY207">
        <v>0</v>
      </c>
    </row>
    <row r="208" spans="1:51" x14ac:dyDescent="0.3">
      <c r="A208" t="s">
        <v>181</v>
      </c>
      <c r="B208" t="s">
        <v>52</v>
      </c>
      <c r="C208" t="s">
        <v>244</v>
      </c>
      <c r="D208" t="s">
        <v>311</v>
      </c>
      <c r="E208" t="s">
        <v>55</v>
      </c>
      <c r="F208">
        <v>19</v>
      </c>
      <c r="G208">
        <v>0</v>
      </c>
      <c r="H208">
        <v>0</v>
      </c>
      <c r="I208">
        <v>18</v>
      </c>
      <c r="J208">
        <v>0</v>
      </c>
      <c r="K208">
        <v>18</v>
      </c>
      <c r="L208">
        <v>124</v>
      </c>
      <c r="M208">
        <v>9</v>
      </c>
      <c r="N208">
        <v>5</v>
      </c>
      <c r="O208">
        <v>0</v>
      </c>
      <c r="P208">
        <v>20</v>
      </c>
      <c r="Q208">
        <v>20</v>
      </c>
      <c r="R208">
        <v>22</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43</v>
      </c>
      <c r="AO208">
        <v>0</v>
      </c>
      <c r="AP208">
        <v>0</v>
      </c>
      <c r="AQ208">
        <v>0</v>
      </c>
      <c r="AR208">
        <v>0</v>
      </c>
      <c r="AS208">
        <v>0</v>
      </c>
      <c r="AT208">
        <v>0</v>
      </c>
      <c r="AU208">
        <v>0</v>
      </c>
      <c r="AV208">
        <v>7</v>
      </c>
      <c r="AW208">
        <v>0</v>
      </c>
      <c r="AX208">
        <v>0</v>
      </c>
      <c r="AY208">
        <v>0</v>
      </c>
    </row>
    <row r="209" spans="1:51" x14ac:dyDescent="0.3">
      <c r="A209" t="s">
        <v>181</v>
      </c>
      <c r="B209" t="s">
        <v>52</v>
      </c>
      <c r="C209" t="s">
        <v>246</v>
      </c>
      <c r="D209" t="s">
        <v>312</v>
      </c>
      <c r="E209" t="s">
        <v>55</v>
      </c>
      <c r="F209">
        <v>57</v>
      </c>
      <c r="G209">
        <v>0</v>
      </c>
      <c r="H209">
        <v>0</v>
      </c>
      <c r="I209">
        <v>57</v>
      </c>
      <c r="J209">
        <v>0</v>
      </c>
      <c r="K209">
        <v>55</v>
      </c>
      <c r="L209">
        <v>266</v>
      </c>
      <c r="M209">
        <v>0</v>
      </c>
      <c r="N209">
        <v>0</v>
      </c>
      <c r="O209">
        <v>0</v>
      </c>
      <c r="P209">
        <v>43</v>
      </c>
      <c r="Q209">
        <v>43</v>
      </c>
      <c r="R209">
        <v>3</v>
      </c>
      <c r="S209">
        <v>0</v>
      </c>
      <c r="T209">
        <v>0</v>
      </c>
      <c r="U209">
        <v>0</v>
      </c>
      <c r="V209">
        <v>0</v>
      </c>
      <c r="W209">
        <v>0</v>
      </c>
      <c r="X209">
        <v>0</v>
      </c>
      <c r="Y209">
        <v>2</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3</v>
      </c>
      <c r="AW209">
        <v>0</v>
      </c>
      <c r="AX209">
        <v>0</v>
      </c>
      <c r="AY209">
        <v>0</v>
      </c>
    </row>
    <row r="210" spans="1:51" x14ac:dyDescent="0.3">
      <c r="A210" t="s">
        <v>181</v>
      </c>
      <c r="B210" t="s">
        <v>52</v>
      </c>
      <c r="C210" t="s">
        <v>240</v>
      </c>
      <c r="D210" t="s">
        <v>313</v>
      </c>
      <c r="E210" t="s">
        <v>55</v>
      </c>
      <c r="F210">
        <v>44</v>
      </c>
      <c r="G210">
        <v>0</v>
      </c>
      <c r="H210">
        <v>0</v>
      </c>
      <c r="I210">
        <v>44</v>
      </c>
      <c r="J210">
        <v>0</v>
      </c>
      <c r="K210">
        <v>44</v>
      </c>
      <c r="L210">
        <v>201</v>
      </c>
      <c r="M210">
        <v>0</v>
      </c>
      <c r="N210">
        <v>0</v>
      </c>
      <c r="O210">
        <v>0</v>
      </c>
      <c r="P210">
        <v>31</v>
      </c>
      <c r="Q210">
        <v>44</v>
      </c>
      <c r="R210">
        <v>33</v>
      </c>
      <c r="S210">
        <v>11</v>
      </c>
      <c r="T210">
        <v>0</v>
      </c>
      <c r="U210">
        <v>0</v>
      </c>
      <c r="V210">
        <v>0</v>
      </c>
      <c r="W210">
        <v>0</v>
      </c>
      <c r="X210">
        <v>0</v>
      </c>
      <c r="Y210">
        <v>1</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2</v>
      </c>
      <c r="AW210">
        <v>0</v>
      </c>
      <c r="AX210">
        <v>0</v>
      </c>
      <c r="AY210">
        <v>0</v>
      </c>
    </row>
    <row r="211" spans="1:51" x14ac:dyDescent="0.3">
      <c r="A211" t="s">
        <v>181</v>
      </c>
      <c r="B211" t="s">
        <v>52</v>
      </c>
      <c r="C211" t="s">
        <v>240</v>
      </c>
      <c r="D211" t="s">
        <v>314</v>
      </c>
      <c r="E211" t="s">
        <v>55</v>
      </c>
      <c r="F211">
        <v>37</v>
      </c>
      <c r="G211">
        <v>0</v>
      </c>
      <c r="H211">
        <v>0</v>
      </c>
      <c r="I211">
        <v>37</v>
      </c>
      <c r="J211">
        <v>0</v>
      </c>
      <c r="K211">
        <v>36</v>
      </c>
      <c r="L211">
        <v>212</v>
      </c>
      <c r="M211">
        <v>0</v>
      </c>
      <c r="N211">
        <v>0</v>
      </c>
      <c r="O211">
        <v>0</v>
      </c>
      <c r="P211">
        <v>36</v>
      </c>
      <c r="Q211">
        <v>35</v>
      </c>
      <c r="R211">
        <v>20</v>
      </c>
      <c r="S211">
        <v>15</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row>
    <row r="212" spans="1:51" x14ac:dyDescent="0.3">
      <c r="A212" t="s">
        <v>181</v>
      </c>
      <c r="B212" t="s">
        <v>52</v>
      </c>
      <c r="C212" t="s">
        <v>258</v>
      </c>
      <c r="D212" t="s">
        <v>315</v>
      </c>
      <c r="E212" t="s">
        <v>55</v>
      </c>
      <c r="F212">
        <v>60</v>
      </c>
      <c r="G212">
        <v>0</v>
      </c>
      <c r="H212">
        <v>0</v>
      </c>
      <c r="I212">
        <v>60</v>
      </c>
      <c r="J212">
        <v>0</v>
      </c>
      <c r="K212">
        <v>55</v>
      </c>
      <c r="L212">
        <v>336</v>
      </c>
      <c r="M212">
        <v>1</v>
      </c>
      <c r="N212">
        <v>0</v>
      </c>
      <c r="O212">
        <v>0</v>
      </c>
      <c r="P212">
        <v>54</v>
      </c>
      <c r="Q212">
        <v>54</v>
      </c>
      <c r="R212">
        <v>66</v>
      </c>
      <c r="S212">
        <v>0</v>
      </c>
      <c r="T212">
        <v>0</v>
      </c>
      <c r="U212">
        <v>0</v>
      </c>
      <c r="V212">
        <v>0</v>
      </c>
      <c r="W212">
        <v>0</v>
      </c>
      <c r="X212">
        <v>48</v>
      </c>
      <c r="Y212">
        <v>3</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24</v>
      </c>
      <c r="AW212">
        <v>0</v>
      </c>
      <c r="AX212">
        <v>0</v>
      </c>
      <c r="AY212">
        <v>0</v>
      </c>
    </row>
    <row r="213" spans="1:51" x14ac:dyDescent="0.3">
      <c r="A213" t="s">
        <v>181</v>
      </c>
      <c r="B213" t="s">
        <v>52</v>
      </c>
      <c r="C213" t="s">
        <v>261</v>
      </c>
      <c r="D213" t="s">
        <v>316</v>
      </c>
      <c r="E213" t="s">
        <v>55</v>
      </c>
      <c r="F213">
        <v>37</v>
      </c>
      <c r="G213">
        <v>0</v>
      </c>
      <c r="H213">
        <v>0</v>
      </c>
      <c r="I213">
        <v>37</v>
      </c>
      <c r="J213">
        <v>0</v>
      </c>
      <c r="K213">
        <v>35</v>
      </c>
      <c r="L213">
        <v>137</v>
      </c>
      <c r="M213">
        <v>6</v>
      </c>
      <c r="N213">
        <v>6</v>
      </c>
      <c r="O213">
        <v>0</v>
      </c>
      <c r="P213">
        <v>26</v>
      </c>
      <c r="Q213">
        <v>26</v>
      </c>
      <c r="R213">
        <v>19</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row>
    <row r="214" spans="1:51" x14ac:dyDescent="0.3">
      <c r="A214" t="s">
        <v>181</v>
      </c>
      <c r="B214" t="s">
        <v>52</v>
      </c>
      <c r="C214" t="s">
        <v>240</v>
      </c>
      <c r="D214" t="s">
        <v>317</v>
      </c>
      <c r="E214" t="s">
        <v>55</v>
      </c>
      <c r="F214">
        <v>43</v>
      </c>
      <c r="G214">
        <v>0</v>
      </c>
      <c r="H214">
        <v>0</v>
      </c>
      <c r="I214">
        <v>43</v>
      </c>
      <c r="J214">
        <v>0</v>
      </c>
      <c r="K214">
        <v>43</v>
      </c>
      <c r="L214">
        <v>192</v>
      </c>
      <c r="M214">
        <v>0</v>
      </c>
      <c r="N214">
        <v>0</v>
      </c>
      <c r="O214">
        <v>0</v>
      </c>
      <c r="P214">
        <v>38</v>
      </c>
      <c r="Q214">
        <v>38</v>
      </c>
      <c r="R214">
        <v>38</v>
      </c>
      <c r="S214">
        <v>12</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row>
    <row r="215" spans="1:51" x14ac:dyDescent="0.3">
      <c r="A215" t="s">
        <v>181</v>
      </c>
      <c r="B215" t="s">
        <v>52</v>
      </c>
      <c r="C215" t="s">
        <v>256</v>
      </c>
      <c r="D215" t="s">
        <v>318</v>
      </c>
      <c r="E215" t="s">
        <v>55</v>
      </c>
      <c r="F215">
        <v>15</v>
      </c>
      <c r="G215">
        <v>0</v>
      </c>
      <c r="H215">
        <v>0</v>
      </c>
      <c r="I215">
        <v>15</v>
      </c>
      <c r="J215">
        <v>0</v>
      </c>
      <c r="K215">
        <v>13</v>
      </c>
      <c r="L215">
        <v>36</v>
      </c>
      <c r="M215">
        <v>3</v>
      </c>
      <c r="N215">
        <v>3</v>
      </c>
      <c r="O215">
        <v>1</v>
      </c>
      <c r="P215">
        <v>7</v>
      </c>
      <c r="Q215">
        <v>8</v>
      </c>
      <c r="R215">
        <v>0</v>
      </c>
      <c r="S215">
        <v>1</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8</v>
      </c>
      <c r="AW215">
        <v>0</v>
      </c>
      <c r="AX215">
        <v>0</v>
      </c>
      <c r="AY215">
        <v>0</v>
      </c>
    </row>
    <row r="216" spans="1:51" x14ac:dyDescent="0.3">
      <c r="A216" t="s">
        <v>181</v>
      </c>
      <c r="B216" t="s">
        <v>52</v>
      </c>
      <c r="C216" t="s">
        <v>261</v>
      </c>
      <c r="D216" t="s">
        <v>319</v>
      </c>
      <c r="E216" t="s">
        <v>55</v>
      </c>
      <c r="F216">
        <v>18</v>
      </c>
      <c r="G216">
        <v>0</v>
      </c>
      <c r="H216">
        <v>0</v>
      </c>
      <c r="I216">
        <v>18</v>
      </c>
      <c r="J216">
        <v>0</v>
      </c>
      <c r="K216">
        <v>18</v>
      </c>
      <c r="L216">
        <v>82</v>
      </c>
      <c r="M216">
        <v>6</v>
      </c>
      <c r="N216">
        <v>9</v>
      </c>
      <c r="O216">
        <v>0</v>
      </c>
      <c r="P216">
        <v>62</v>
      </c>
      <c r="Q216">
        <v>62</v>
      </c>
      <c r="R216">
        <v>14</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row>
    <row r="217" spans="1:51" x14ac:dyDescent="0.3">
      <c r="A217" t="s">
        <v>181</v>
      </c>
      <c r="B217" t="s">
        <v>52</v>
      </c>
      <c r="C217" t="s">
        <v>284</v>
      </c>
      <c r="D217" t="s">
        <v>320</v>
      </c>
      <c r="E217" t="s">
        <v>55</v>
      </c>
      <c r="F217">
        <v>53</v>
      </c>
      <c r="G217">
        <v>0</v>
      </c>
      <c r="H217">
        <v>0</v>
      </c>
      <c r="I217">
        <v>53</v>
      </c>
      <c r="J217">
        <v>0</v>
      </c>
      <c r="K217">
        <v>52</v>
      </c>
      <c r="L217">
        <v>303</v>
      </c>
      <c r="M217">
        <v>9</v>
      </c>
      <c r="N217">
        <v>7</v>
      </c>
      <c r="O217">
        <v>3</v>
      </c>
      <c r="P217">
        <v>48</v>
      </c>
      <c r="Q217">
        <v>48</v>
      </c>
      <c r="R217">
        <v>48</v>
      </c>
      <c r="S217">
        <v>0</v>
      </c>
      <c r="T217">
        <v>0</v>
      </c>
      <c r="U217">
        <v>0</v>
      </c>
      <c r="V217">
        <v>0</v>
      </c>
      <c r="W217">
        <v>0</v>
      </c>
      <c r="X217">
        <v>2</v>
      </c>
      <c r="Y217">
        <v>4</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18</v>
      </c>
      <c r="AW217">
        <v>1</v>
      </c>
      <c r="AX217">
        <v>0</v>
      </c>
      <c r="AY217">
        <v>0</v>
      </c>
    </row>
    <row r="218" spans="1:51" x14ac:dyDescent="0.3">
      <c r="A218" t="s">
        <v>181</v>
      </c>
      <c r="B218" t="s">
        <v>52</v>
      </c>
      <c r="C218" t="s">
        <v>254</v>
      </c>
      <c r="D218" t="s">
        <v>321</v>
      </c>
      <c r="E218" t="s">
        <v>55</v>
      </c>
      <c r="F218">
        <v>33</v>
      </c>
      <c r="G218">
        <v>0</v>
      </c>
      <c r="H218">
        <v>0</v>
      </c>
      <c r="I218">
        <v>33</v>
      </c>
      <c r="J218">
        <v>0</v>
      </c>
      <c r="K218">
        <v>33</v>
      </c>
      <c r="L218">
        <v>138</v>
      </c>
      <c r="M218">
        <v>0</v>
      </c>
      <c r="N218">
        <v>0</v>
      </c>
      <c r="O218">
        <v>0</v>
      </c>
      <c r="P218">
        <v>20</v>
      </c>
      <c r="Q218">
        <v>20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row>
    <row r="219" spans="1:51" x14ac:dyDescent="0.3">
      <c r="A219" t="s">
        <v>181</v>
      </c>
      <c r="B219" t="s">
        <v>52</v>
      </c>
      <c r="C219" t="s">
        <v>240</v>
      </c>
      <c r="D219" t="s">
        <v>322</v>
      </c>
      <c r="E219" t="s">
        <v>55</v>
      </c>
      <c r="F219">
        <v>8</v>
      </c>
      <c r="G219">
        <v>0</v>
      </c>
      <c r="H219">
        <v>0</v>
      </c>
      <c r="I219">
        <v>8</v>
      </c>
      <c r="J219">
        <v>0</v>
      </c>
      <c r="K219">
        <v>8</v>
      </c>
      <c r="L219">
        <v>51</v>
      </c>
      <c r="M219">
        <v>0</v>
      </c>
      <c r="N219">
        <v>0</v>
      </c>
      <c r="O219">
        <v>0</v>
      </c>
      <c r="P219">
        <v>8</v>
      </c>
      <c r="Q219">
        <v>8</v>
      </c>
      <c r="R219">
        <v>10</v>
      </c>
      <c r="S219">
        <v>1</v>
      </c>
      <c r="T219">
        <v>0</v>
      </c>
      <c r="U219">
        <v>0</v>
      </c>
      <c r="V219">
        <v>0</v>
      </c>
      <c r="W219">
        <v>0</v>
      </c>
      <c r="X219">
        <v>0</v>
      </c>
      <c r="Y219">
        <v>0</v>
      </c>
      <c r="Z219">
        <v>0</v>
      </c>
      <c r="AA219">
        <v>0</v>
      </c>
      <c r="AB219">
        <v>0</v>
      </c>
      <c r="AC219">
        <v>0</v>
      </c>
      <c r="AD219">
        <v>0</v>
      </c>
      <c r="AE219">
        <v>0</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row>
    <row r="220" spans="1:51" x14ac:dyDescent="0.3">
      <c r="A220" t="s">
        <v>181</v>
      </c>
      <c r="B220" t="s">
        <v>52</v>
      </c>
      <c r="C220" t="s">
        <v>269</v>
      </c>
      <c r="D220" t="s">
        <v>323</v>
      </c>
      <c r="E220" t="s">
        <v>55</v>
      </c>
      <c r="F220">
        <v>24</v>
      </c>
      <c r="G220">
        <v>0</v>
      </c>
      <c r="H220">
        <v>0</v>
      </c>
      <c r="I220">
        <v>24</v>
      </c>
      <c r="J220">
        <v>0</v>
      </c>
      <c r="K220">
        <v>24</v>
      </c>
      <c r="L220">
        <v>155</v>
      </c>
      <c r="M220">
        <v>1</v>
      </c>
      <c r="N220">
        <v>0</v>
      </c>
      <c r="O220">
        <v>0</v>
      </c>
      <c r="P220">
        <v>25</v>
      </c>
      <c r="Q220">
        <v>25</v>
      </c>
      <c r="R220">
        <v>21</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3</v>
      </c>
      <c r="AW220">
        <v>0</v>
      </c>
      <c r="AX220">
        <v>0</v>
      </c>
      <c r="AY220">
        <v>0</v>
      </c>
    </row>
    <row r="221" spans="1:51" x14ac:dyDescent="0.3">
      <c r="A221" t="s">
        <v>181</v>
      </c>
      <c r="B221" t="s">
        <v>52</v>
      </c>
      <c r="C221" t="s">
        <v>240</v>
      </c>
      <c r="D221" t="s">
        <v>324</v>
      </c>
      <c r="E221" t="s">
        <v>55</v>
      </c>
      <c r="F221">
        <v>14</v>
      </c>
      <c r="G221">
        <v>0</v>
      </c>
      <c r="H221">
        <v>0</v>
      </c>
      <c r="I221">
        <v>14</v>
      </c>
      <c r="J221">
        <v>0</v>
      </c>
      <c r="K221">
        <v>13</v>
      </c>
      <c r="L221">
        <v>140</v>
      </c>
      <c r="M221">
        <v>0</v>
      </c>
      <c r="N221">
        <v>0</v>
      </c>
      <c r="O221">
        <v>0</v>
      </c>
      <c r="P221">
        <v>16</v>
      </c>
      <c r="Q221">
        <v>16</v>
      </c>
      <c r="R221">
        <v>12</v>
      </c>
      <c r="S221">
        <v>1</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2</v>
      </c>
      <c r="AW221">
        <v>0</v>
      </c>
      <c r="AX221">
        <v>0</v>
      </c>
      <c r="AY221">
        <v>0</v>
      </c>
    </row>
    <row r="222" spans="1:51" x14ac:dyDescent="0.3">
      <c r="A222" t="s">
        <v>181</v>
      </c>
      <c r="B222" t="s">
        <v>72</v>
      </c>
      <c r="C222" t="s">
        <v>242</v>
      </c>
      <c r="D222" t="s">
        <v>325</v>
      </c>
      <c r="E222" t="s">
        <v>55</v>
      </c>
      <c r="F222">
        <v>0</v>
      </c>
      <c r="G222">
        <v>0</v>
      </c>
      <c r="H222">
        <v>0</v>
      </c>
      <c r="I222">
        <v>0</v>
      </c>
      <c r="J222">
        <v>0</v>
      </c>
      <c r="K222">
        <v>0</v>
      </c>
      <c r="L222">
        <v>147</v>
      </c>
      <c r="M222">
        <v>59</v>
      </c>
      <c r="N222">
        <v>43</v>
      </c>
      <c r="O222">
        <v>3</v>
      </c>
      <c r="P222">
        <v>0</v>
      </c>
      <c r="Q222">
        <v>0</v>
      </c>
      <c r="R222">
        <v>0</v>
      </c>
      <c r="S222">
        <v>85</v>
      </c>
      <c r="T222">
        <v>0</v>
      </c>
      <c r="U222">
        <v>0</v>
      </c>
      <c r="V222">
        <v>0</v>
      </c>
      <c r="W222">
        <v>0</v>
      </c>
      <c r="X222">
        <v>126</v>
      </c>
      <c r="Y222">
        <v>45</v>
      </c>
      <c r="Z222">
        <v>0</v>
      </c>
      <c r="AA222">
        <v>0</v>
      </c>
      <c r="AB222">
        <v>9</v>
      </c>
      <c r="AC222">
        <v>0</v>
      </c>
      <c r="AD222">
        <v>0</v>
      </c>
      <c r="AE222">
        <v>0</v>
      </c>
      <c r="AF222">
        <v>65</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row>
    <row r="223" spans="1:51" x14ac:dyDescent="0.3">
      <c r="A223" t="s">
        <v>181</v>
      </c>
      <c r="B223" t="s">
        <v>72</v>
      </c>
      <c r="C223" t="s">
        <v>248</v>
      </c>
      <c r="D223" t="s">
        <v>326</v>
      </c>
      <c r="E223" t="s">
        <v>55</v>
      </c>
      <c r="F223">
        <v>0</v>
      </c>
      <c r="G223">
        <v>0</v>
      </c>
      <c r="H223">
        <v>0</v>
      </c>
      <c r="I223">
        <v>0</v>
      </c>
      <c r="J223">
        <v>0</v>
      </c>
      <c r="K223">
        <v>0</v>
      </c>
      <c r="L223">
        <v>1287</v>
      </c>
      <c r="M223">
        <v>53</v>
      </c>
      <c r="N223">
        <v>63</v>
      </c>
      <c r="O223">
        <v>9</v>
      </c>
      <c r="P223">
        <v>0</v>
      </c>
      <c r="Q223">
        <v>0</v>
      </c>
      <c r="R223">
        <v>0</v>
      </c>
      <c r="S223">
        <v>151</v>
      </c>
      <c r="T223">
        <v>0</v>
      </c>
      <c r="U223">
        <v>0</v>
      </c>
      <c r="V223">
        <v>0</v>
      </c>
      <c r="W223">
        <v>0</v>
      </c>
      <c r="X223">
        <v>143</v>
      </c>
      <c r="Y223">
        <v>24</v>
      </c>
      <c r="Z223">
        <v>0</v>
      </c>
      <c r="AA223">
        <v>0</v>
      </c>
      <c r="AB223">
        <v>12</v>
      </c>
      <c r="AC223">
        <v>4</v>
      </c>
      <c r="AD223">
        <v>0</v>
      </c>
      <c r="AE223">
        <v>0</v>
      </c>
      <c r="AF223">
        <v>76</v>
      </c>
      <c r="AG223">
        <v>0</v>
      </c>
      <c r="AH223">
        <v>0</v>
      </c>
      <c r="AI223">
        <v>0</v>
      </c>
      <c r="AJ223">
        <v>0</v>
      </c>
      <c r="AK223">
        <v>0</v>
      </c>
      <c r="AL223">
        <v>0</v>
      </c>
      <c r="AM223">
        <v>0</v>
      </c>
      <c r="AN223">
        <v>4</v>
      </c>
      <c r="AO223">
        <v>0</v>
      </c>
      <c r="AP223">
        <v>0</v>
      </c>
      <c r="AQ223">
        <v>0</v>
      </c>
      <c r="AR223">
        <v>0</v>
      </c>
      <c r="AS223">
        <v>0</v>
      </c>
      <c r="AT223">
        <v>0</v>
      </c>
      <c r="AU223">
        <v>0</v>
      </c>
      <c r="AV223">
        <v>111</v>
      </c>
      <c r="AW223">
        <v>14</v>
      </c>
      <c r="AX223">
        <v>2</v>
      </c>
      <c r="AY223">
        <v>0</v>
      </c>
    </row>
    <row r="224" spans="1:51" x14ac:dyDescent="0.3">
      <c r="A224" t="s">
        <v>181</v>
      </c>
      <c r="B224" t="s">
        <v>72</v>
      </c>
      <c r="C224" t="s">
        <v>269</v>
      </c>
      <c r="D224" t="s">
        <v>327</v>
      </c>
      <c r="E224" t="s">
        <v>55</v>
      </c>
      <c r="F224">
        <v>0</v>
      </c>
      <c r="G224">
        <v>0</v>
      </c>
      <c r="H224">
        <v>0</v>
      </c>
      <c r="I224">
        <v>0</v>
      </c>
      <c r="J224">
        <v>0</v>
      </c>
      <c r="K224">
        <v>0</v>
      </c>
      <c r="L224">
        <v>71</v>
      </c>
      <c r="M224">
        <v>41</v>
      </c>
      <c r="N224">
        <v>28</v>
      </c>
      <c r="O224">
        <v>2</v>
      </c>
      <c r="P224">
        <v>0</v>
      </c>
      <c r="Q224">
        <v>0</v>
      </c>
      <c r="R224">
        <v>19</v>
      </c>
      <c r="S224">
        <v>122</v>
      </c>
      <c r="T224">
        <v>0</v>
      </c>
      <c r="U224">
        <v>0</v>
      </c>
      <c r="V224">
        <v>0</v>
      </c>
      <c r="W224">
        <v>0</v>
      </c>
      <c r="X224">
        <v>146</v>
      </c>
      <c r="Y224">
        <v>1</v>
      </c>
      <c r="Z224">
        <v>1</v>
      </c>
      <c r="AA224">
        <v>1</v>
      </c>
      <c r="AB224">
        <v>0</v>
      </c>
      <c r="AC224">
        <v>0</v>
      </c>
      <c r="AD224">
        <v>0</v>
      </c>
      <c r="AE224">
        <v>0</v>
      </c>
      <c r="AF224">
        <v>7</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row>
    <row r="225" spans="1:51" x14ac:dyDescent="0.3">
      <c r="A225" t="s">
        <v>181</v>
      </c>
      <c r="B225" t="s">
        <v>72</v>
      </c>
      <c r="C225" t="s">
        <v>261</v>
      </c>
      <c r="D225" t="s">
        <v>328</v>
      </c>
      <c r="E225" t="s">
        <v>55</v>
      </c>
      <c r="F225">
        <v>0</v>
      </c>
      <c r="G225">
        <v>0</v>
      </c>
      <c r="H225">
        <v>0</v>
      </c>
      <c r="I225">
        <v>0</v>
      </c>
      <c r="J225">
        <v>0</v>
      </c>
      <c r="K225">
        <v>0</v>
      </c>
      <c r="L225">
        <v>403</v>
      </c>
      <c r="M225">
        <v>110</v>
      </c>
      <c r="N225">
        <v>81</v>
      </c>
      <c r="O225">
        <v>19</v>
      </c>
      <c r="P225">
        <v>0</v>
      </c>
      <c r="Q225">
        <v>0</v>
      </c>
      <c r="R225">
        <v>0</v>
      </c>
      <c r="S225">
        <v>227</v>
      </c>
      <c r="T225">
        <v>0</v>
      </c>
      <c r="U225">
        <v>0</v>
      </c>
      <c r="V225">
        <v>0</v>
      </c>
      <c r="W225">
        <v>0</v>
      </c>
      <c r="X225">
        <v>255</v>
      </c>
      <c r="Y225">
        <v>41</v>
      </c>
      <c r="Z225">
        <v>0</v>
      </c>
      <c r="AA225">
        <v>0</v>
      </c>
      <c r="AB225">
        <v>50</v>
      </c>
      <c r="AC225">
        <v>0</v>
      </c>
      <c r="AD225">
        <v>0</v>
      </c>
      <c r="AE225">
        <v>0</v>
      </c>
      <c r="AF225">
        <v>212</v>
      </c>
      <c r="AG225">
        <v>41</v>
      </c>
      <c r="AH225">
        <v>0</v>
      </c>
      <c r="AI225">
        <v>0</v>
      </c>
      <c r="AJ225">
        <v>0</v>
      </c>
      <c r="AK225">
        <v>0</v>
      </c>
      <c r="AL225">
        <v>0</v>
      </c>
      <c r="AM225">
        <v>0</v>
      </c>
      <c r="AN225">
        <v>0</v>
      </c>
      <c r="AO225">
        <v>0</v>
      </c>
      <c r="AP225">
        <v>0</v>
      </c>
      <c r="AQ225">
        <v>0</v>
      </c>
      <c r="AR225">
        <v>0</v>
      </c>
      <c r="AS225">
        <v>0</v>
      </c>
      <c r="AT225">
        <v>0</v>
      </c>
      <c r="AU225">
        <v>0</v>
      </c>
      <c r="AV225">
        <v>91</v>
      </c>
      <c r="AW225">
        <v>0</v>
      </c>
      <c r="AX225">
        <v>0</v>
      </c>
      <c r="AY225">
        <v>0</v>
      </c>
    </row>
    <row r="226" spans="1:51" x14ac:dyDescent="0.3">
      <c r="A226" t="s">
        <v>181</v>
      </c>
      <c r="B226" t="s">
        <v>72</v>
      </c>
      <c r="C226" t="s">
        <v>267</v>
      </c>
      <c r="D226" t="s">
        <v>329</v>
      </c>
      <c r="E226" t="s">
        <v>55</v>
      </c>
      <c r="F226">
        <v>0</v>
      </c>
      <c r="G226">
        <v>0</v>
      </c>
      <c r="H226">
        <v>0</v>
      </c>
      <c r="I226">
        <v>0</v>
      </c>
      <c r="J226">
        <v>0</v>
      </c>
      <c r="K226">
        <v>0</v>
      </c>
      <c r="L226">
        <v>93</v>
      </c>
      <c r="M226">
        <v>16</v>
      </c>
      <c r="N226">
        <v>18</v>
      </c>
      <c r="O226">
        <v>1</v>
      </c>
      <c r="P226">
        <v>0</v>
      </c>
      <c r="Q226">
        <v>0</v>
      </c>
      <c r="R226">
        <v>0</v>
      </c>
      <c r="S226">
        <v>63</v>
      </c>
      <c r="T226">
        <v>0</v>
      </c>
      <c r="U226">
        <v>0</v>
      </c>
      <c r="V226">
        <v>0</v>
      </c>
      <c r="W226">
        <v>0</v>
      </c>
      <c r="X226">
        <v>41</v>
      </c>
      <c r="Y226">
        <v>35</v>
      </c>
      <c r="Z226">
        <v>0</v>
      </c>
      <c r="AA226">
        <v>0</v>
      </c>
      <c r="AB226">
        <v>0</v>
      </c>
      <c r="AC226">
        <v>0</v>
      </c>
      <c r="AD226">
        <v>0</v>
      </c>
      <c r="AE226">
        <v>0</v>
      </c>
      <c r="AF226">
        <v>38</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row>
    <row r="227" spans="1:51" x14ac:dyDescent="0.3">
      <c r="A227" t="s">
        <v>181</v>
      </c>
      <c r="B227" t="s">
        <v>72</v>
      </c>
      <c r="C227" t="s">
        <v>244</v>
      </c>
      <c r="D227" t="s">
        <v>330</v>
      </c>
      <c r="E227" t="s">
        <v>55</v>
      </c>
      <c r="F227">
        <v>0</v>
      </c>
      <c r="G227">
        <v>0</v>
      </c>
      <c r="H227">
        <v>0</v>
      </c>
      <c r="I227">
        <v>0</v>
      </c>
      <c r="J227">
        <v>0</v>
      </c>
      <c r="K227">
        <v>0</v>
      </c>
      <c r="L227">
        <v>288</v>
      </c>
      <c r="M227">
        <v>33</v>
      </c>
      <c r="N227">
        <v>21</v>
      </c>
      <c r="O227">
        <v>7</v>
      </c>
      <c r="P227">
        <v>0</v>
      </c>
      <c r="Q227">
        <v>0</v>
      </c>
      <c r="R227">
        <v>41</v>
      </c>
      <c r="S227">
        <v>118</v>
      </c>
      <c r="T227">
        <v>0</v>
      </c>
      <c r="U227">
        <v>0</v>
      </c>
      <c r="V227">
        <v>0</v>
      </c>
      <c r="W227">
        <v>0</v>
      </c>
      <c r="X227">
        <v>120</v>
      </c>
      <c r="Y227">
        <v>28</v>
      </c>
      <c r="Z227">
        <v>0</v>
      </c>
      <c r="AA227">
        <v>0</v>
      </c>
      <c r="AB227">
        <v>16</v>
      </c>
      <c r="AC227">
        <v>3</v>
      </c>
      <c r="AD227">
        <v>0</v>
      </c>
      <c r="AE227">
        <v>0</v>
      </c>
      <c r="AF227">
        <v>97</v>
      </c>
      <c r="AG227">
        <v>0</v>
      </c>
      <c r="AH227">
        <v>0</v>
      </c>
      <c r="AI227">
        <v>0</v>
      </c>
      <c r="AJ227">
        <v>0</v>
      </c>
      <c r="AK227">
        <v>0</v>
      </c>
      <c r="AL227">
        <v>0</v>
      </c>
      <c r="AM227">
        <v>0</v>
      </c>
      <c r="AN227">
        <v>97</v>
      </c>
      <c r="AO227">
        <v>0</v>
      </c>
      <c r="AP227">
        <v>0</v>
      </c>
      <c r="AQ227">
        <v>0</v>
      </c>
      <c r="AR227">
        <v>0</v>
      </c>
      <c r="AS227">
        <v>0</v>
      </c>
      <c r="AT227">
        <v>0</v>
      </c>
      <c r="AU227">
        <v>0</v>
      </c>
      <c r="AV227">
        <v>0</v>
      </c>
      <c r="AW227">
        <v>0</v>
      </c>
      <c r="AX227">
        <v>0</v>
      </c>
      <c r="AY227">
        <v>0</v>
      </c>
    </row>
    <row r="228" spans="1:51" x14ac:dyDescent="0.3">
      <c r="A228" t="s">
        <v>181</v>
      </c>
      <c r="B228" t="s">
        <v>72</v>
      </c>
      <c r="C228" t="s">
        <v>254</v>
      </c>
      <c r="D228" t="s">
        <v>331</v>
      </c>
      <c r="E228" t="s">
        <v>55</v>
      </c>
      <c r="F228">
        <v>0</v>
      </c>
      <c r="G228">
        <v>0</v>
      </c>
      <c r="H228">
        <v>0</v>
      </c>
      <c r="I228">
        <v>0</v>
      </c>
      <c r="J228">
        <v>0</v>
      </c>
      <c r="K228">
        <v>0</v>
      </c>
      <c r="L228">
        <v>235</v>
      </c>
      <c r="M228">
        <v>32</v>
      </c>
      <c r="N228">
        <v>31</v>
      </c>
      <c r="O228">
        <v>8</v>
      </c>
      <c r="P228">
        <v>156</v>
      </c>
      <c r="Q228">
        <v>156</v>
      </c>
      <c r="R228">
        <v>62</v>
      </c>
      <c r="S228">
        <v>0</v>
      </c>
      <c r="T228">
        <v>0</v>
      </c>
      <c r="U228">
        <v>0</v>
      </c>
      <c r="V228">
        <v>0</v>
      </c>
      <c r="W228">
        <v>0</v>
      </c>
      <c r="X228">
        <v>149</v>
      </c>
      <c r="Y228">
        <v>78</v>
      </c>
      <c r="Z228">
        <v>0</v>
      </c>
      <c r="AA228">
        <v>0</v>
      </c>
      <c r="AB228">
        <v>28</v>
      </c>
      <c r="AC228">
        <v>9</v>
      </c>
      <c r="AD228">
        <v>0</v>
      </c>
      <c r="AE228">
        <v>0</v>
      </c>
      <c r="AF228">
        <v>68</v>
      </c>
      <c r="AG228">
        <v>0</v>
      </c>
      <c r="AH228">
        <v>0</v>
      </c>
      <c r="AI228">
        <v>0</v>
      </c>
      <c r="AJ228">
        <v>0</v>
      </c>
      <c r="AK228">
        <v>0</v>
      </c>
      <c r="AL228">
        <v>0</v>
      </c>
      <c r="AM228">
        <v>0</v>
      </c>
      <c r="AN228">
        <v>0</v>
      </c>
      <c r="AO228">
        <v>0</v>
      </c>
      <c r="AP228">
        <v>0</v>
      </c>
      <c r="AQ228">
        <v>0</v>
      </c>
      <c r="AR228">
        <v>0</v>
      </c>
      <c r="AS228">
        <v>0</v>
      </c>
      <c r="AT228">
        <v>0</v>
      </c>
      <c r="AU228">
        <v>0</v>
      </c>
      <c r="AV228">
        <v>15</v>
      </c>
      <c r="AW228">
        <v>55</v>
      </c>
      <c r="AX228">
        <v>116</v>
      </c>
      <c r="AY228">
        <v>0</v>
      </c>
    </row>
    <row r="229" spans="1:51" x14ac:dyDescent="0.3">
      <c r="A229" t="s">
        <v>181</v>
      </c>
      <c r="B229" t="s">
        <v>72</v>
      </c>
      <c r="C229" t="s">
        <v>250</v>
      </c>
      <c r="D229" t="s">
        <v>332</v>
      </c>
      <c r="E229" t="s">
        <v>55</v>
      </c>
      <c r="F229">
        <v>0</v>
      </c>
      <c r="G229">
        <v>0</v>
      </c>
      <c r="H229">
        <v>0</v>
      </c>
      <c r="I229">
        <v>0</v>
      </c>
      <c r="J229">
        <v>0</v>
      </c>
      <c r="K229">
        <v>0</v>
      </c>
      <c r="L229">
        <v>597</v>
      </c>
      <c r="M229">
        <v>53</v>
      </c>
      <c r="N229">
        <v>44</v>
      </c>
      <c r="O229">
        <v>8</v>
      </c>
      <c r="P229">
        <v>0</v>
      </c>
      <c r="Q229">
        <v>0</v>
      </c>
      <c r="R229">
        <v>0</v>
      </c>
      <c r="S229">
        <v>99</v>
      </c>
      <c r="T229">
        <v>0</v>
      </c>
      <c r="U229">
        <v>0</v>
      </c>
      <c r="V229">
        <v>0</v>
      </c>
      <c r="W229">
        <v>0</v>
      </c>
      <c r="X229">
        <v>103</v>
      </c>
      <c r="Y229">
        <v>14</v>
      </c>
      <c r="Z229">
        <v>0</v>
      </c>
      <c r="AA229">
        <v>0</v>
      </c>
      <c r="AB229">
        <v>31</v>
      </c>
      <c r="AC229">
        <v>0</v>
      </c>
      <c r="AD229">
        <v>0</v>
      </c>
      <c r="AE229">
        <v>0</v>
      </c>
      <c r="AF229">
        <v>109</v>
      </c>
      <c r="AG229">
        <v>0</v>
      </c>
      <c r="AH229">
        <v>0</v>
      </c>
      <c r="AI229">
        <v>0</v>
      </c>
      <c r="AJ229">
        <v>0</v>
      </c>
      <c r="AK229">
        <v>0</v>
      </c>
      <c r="AL229">
        <v>0</v>
      </c>
      <c r="AM229">
        <v>0</v>
      </c>
      <c r="AN229">
        <v>3</v>
      </c>
      <c r="AO229">
        <v>0</v>
      </c>
      <c r="AP229">
        <v>0</v>
      </c>
      <c r="AQ229">
        <v>0</v>
      </c>
      <c r="AR229">
        <v>0</v>
      </c>
      <c r="AS229">
        <v>0</v>
      </c>
      <c r="AT229">
        <v>0</v>
      </c>
      <c r="AU229">
        <v>0</v>
      </c>
      <c r="AV229">
        <v>0</v>
      </c>
      <c r="AW229">
        <v>0</v>
      </c>
      <c r="AX229">
        <v>0</v>
      </c>
      <c r="AY229">
        <v>0</v>
      </c>
    </row>
    <row r="230" spans="1:51" x14ac:dyDescent="0.3">
      <c r="A230" t="s">
        <v>181</v>
      </c>
      <c r="B230" t="s">
        <v>72</v>
      </c>
      <c r="C230" t="s">
        <v>256</v>
      </c>
      <c r="D230" t="s">
        <v>333</v>
      </c>
      <c r="E230" t="s">
        <v>55</v>
      </c>
      <c r="F230">
        <v>0</v>
      </c>
      <c r="G230">
        <v>0</v>
      </c>
      <c r="H230">
        <v>0</v>
      </c>
      <c r="I230">
        <v>0</v>
      </c>
      <c r="J230">
        <v>0</v>
      </c>
      <c r="K230">
        <v>0</v>
      </c>
      <c r="L230">
        <v>139</v>
      </c>
      <c r="M230">
        <v>42</v>
      </c>
      <c r="N230">
        <v>26</v>
      </c>
      <c r="O230">
        <v>1</v>
      </c>
      <c r="P230">
        <v>0</v>
      </c>
      <c r="Q230">
        <v>0</v>
      </c>
      <c r="R230">
        <v>39</v>
      </c>
      <c r="S230">
        <v>28</v>
      </c>
      <c r="T230">
        <v>0</v>
      </c>
      <c r="U230">
        <v>0</v>
      </c>
      <c r="V230">
        <v>0</v>
      </c>
      <c r="W230">
        <v>0</v>
      </c>
      <c r="X230">
        <v>80</v>
      </c>
      <c r="Y230">
        <v>17</v>
      </c>
      <c r="Z230">
        <v>1</v>
      </c>
      <c r="AA230">
        <v>1</v>
      </c>
      <c r="AB230">
        <v>10</v>
      </c>
      <c r="AC230">
        <v>0</v>
      </c>
      <c r="AD230">
        <v>0</v>
      </c>
      <c r="AE230">
        <v>0</v>
      </c>
      <c r="AF230">
        <v>41</v>
      </c>
      <c r="AG230">
        <v>0</v>
      </c>
      <c r="AH230">
        <v>0</v>
      </c>
      <c r="AI230">
        <v>0</v>
      </c>
      <c r="AJ230">
        <v>0</v>
      </c>
      <c r="AK230">
        <v>0</v>
      </c>
      <c r="AL230">
        <v>0</v>
      </c>
      <c r="AM230">
        <v>0</v>
      </c>
      <c r="AN230">
        <v>0</v>
      </c>
      <c r="AO230">
        <v>0</v>
      </c>
      <c r="AP230">
        <v>0</v>
      </c>
      <c r="AQ230">
        <v>0</v>
      </c>
      <c r="AR230">
        <v>0</v>
      </c>
      <c r="AS230">
        <v>0</v>
      </c>
      <c r="AT230">
        <v>0</v>
      </c>
      <c r="AU230">
        <v>0</v>
      </c>
      <c r="AV230">
        <v>4</v>
      </c>
      <c r="AW230">
        <v>6</v>
      </c>
      <c r="AX230">
        <v>1</v>
      </c>
      <c r="AY230">
        <v>0</v>
      </c>
    </row>
    <row r="231" spans="1:51" x14ac:dyDescent="0.3">
      <c r="A231" t="s">
        <v>181</v>
      </c>
      <c r="B231" t="s">
        <v>72</v>
      </c>
      <c r="C231" t="s">
        <v>272</v>
      </c>
      <c r="D231" t="s">
        <v>334</v>
      </c>
      <c r="E231" t="s">
        <v>55</v>
      </c>
      <c r="F231">
        <v>0</v>
      </c>
      <c r="G231">
        <v>0</v>
      </c>
      <c r="H231">
        <v>0</v>
      </c>
      <c r="I231">
        <v>0</v>
      </c>
      <c r="J231">
        <v>0</v>
      </c>
      <c r="K231">
        <v>0</v>
      </c>
      <c r="L231">
        <v>158</v>
      </c>
      <c r="M231">
        <v>25</v>
      </c>
      <c r="N231">
        <v>31</v>
      </c>
      <c r="O231">
        <v>10</v>
      </c>
      <c r="P231">
        <v>0</v>
      </c>
      <c r="Q231">
        <v>0</v>
      </c>
      <c r="R231">
        <v>45</v>
      </c>
      <c r="S231">
        <v>91</v>
      </c>
      <c r="T231">
        <v>0</v>
      </c>
      <c r="U231">
        <v>0</v>
      </c>
      <c r="V231">
        <v>0</v>
      </c>
      <c r="W231">
        <v>0</v>
      </c>
      <c r="X231">
        <v>87</v>
      </c>
      <c r="Y231">
        <v>13</v>
      </c>
      <c r="Z231">
        <v>0</v>
      </c>
      <c r="AA231">
        <v>0</v>
      </c>
      <c r="AB231">
        <v>0</v>
      </c>
      <c r="AC231">
        <v>0</v>
      </c>
      <c r="AD231">
        <v>0</v>
      </c>
      <c r="AE231">
        <v>0</v>
      </c>
      <c r="AF231">
        <v>43</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row>
    <row r="232" spans="1:51" x14ac:dyDescent="0.3">
      <c r="A232" t="s">
        <v>181</v>
      </c>
      <c r="B232" t="s">
        <v>72</v>
      </c>
      <c r="C232" t="s">
        <v>284</v>
      </c>
      <c r="D232" t="s">
        <v>335</v>
      </c>
      <c r="E232" t="s">
        <v>55</v>
      </c>
      <c r="F232">
        <v>0</v>
      </c>
      <c r="G232">
        <v>0</v>
      </c>
      <c r="H232">
        <v>0</v>
      </c>
      <c r="I232">
        <v>0</v>
      </c>
      <c r="J232">
        <v>0</v>
      </c>
      <c r="K232">
        <v>0</v>
      </c>
      <c r="L232">
        <v>149</v>
      </c>
      <c r="M232">
        <v>21</v>
      </c>
      <c r="N232">
        <v>26</v>
      </c>
      <c r="O232">
        <v>12</v>
      </c>
      <c r="P232">
        <v>21</v>
      </c>
      <c r="Q232">
        <v>21</v>
      </c>
      <c r="R232">
        <v>39</v>
      </c>
      <c r="S232">
        <v>105</v>
      </c>
      <c r="T232">
        <v>1</v>
      </c>
      <c r="U232">
        <v>0</v>
      </c>
      <c r="V232">
        <v>0</v>
      </c>
      <c r="W232">
        <v>0</v>
      </c>
      <c r="X232">
        <v>106</v>
      </c>
      <c r="Y232">
        <v>22</v>
      </c>
      <c r="Z232">
        <v>0</v>
      </c>
      <c r="AA232">
        <v>0</v>
      </c>
      <c r="AB232">
        <v>16</v>
      </c>
      <c r="AC232">
        <v>0</v>
      </c>
      <c r="AD232">
        <v>0</v>
      </c>
      <c r="AE232">
        <v>0</v>
      </c>
      <c r="AF232">
        <v>90</v>
      </c>
      <c r="AG232">
        <v>0</v>
      </c>
      <c r="AH232">
        <v>0</v>
      </c>
      <c r="AI232">
        <v>0</v>
      </c>
      <c r="AJ232">
        <v>0</v>
      </c>
      <c r="AK232">
        <v>0</v>
      </c>
      <c r="AL232">
        <v>0</v>
      </c>
      <c r="AM232">
        <v>0</v>
      </c>
      <c r="AN232">
        <v>0</v>
      </c>
      <c r="AO232">
        <v>0</v>
      </c>
      <c r="AP232">
        <v>0</v>
      </c>
      <c r="AQ232">
        <v>0</v>
      </c>
      <c r="AR232">
        <v>0</v>
      </c>
      <c r="AS232">
        <v>0</v>
      </c>
      <c r="AT232">
        <v>0</v>
      </c>
      <c r="AU232">
        <v>0</v>
      </c>
      <c r="AV232">
        <v>0</v>
      </c>
      <c r="AW232">
        <v>5</v>
      </c>
      <c r="AX232">
        <v>17</v>
      </c>
      <c r="AY232">
        <v>0</v>
      </c>
    </row>
    <row r="233" spans="1:51" x14ac:dyDescent="0.3">
      <c r="A233" t="s">
        <v>181</v>
      </c>
      <c r="B233" t="s">
        <v>72</v>
      </c>
      <c r="C233" t="s">
        <v>299</v>
      </c>
      <c r="D233" t="s">
        <v>336</v>
      </c>
      <c r="E233" t="s">
        <v>55</v>
      </c>
      <c r="F233">
        <v>0</v>
      </c>
      <c r="G233">
        <v>0</v>
      </c>
      <c r="H233">
        <v>0</v>
      </c>
      <c r="I233">
        <v>0</v>
      </c>
      <c r="J233">
        <v>0</v>
      </c>
      <c r="K233">
        <v>0</v>
      </c>
      <c r="L233">
        <v>494</v>
      </c>
      <c r="M233">
        <v>65</v>
      </c>
      <c r="N233">
        <v>42</v>
      </c>
      <c r="O233">
        <v>8</v>
      </c>
      <c r="P233">
        <v>0</v>
      </c>
      <c r="Q233">
        <v>0</v>
      </c>
      <c r="R233">
        <v>85</v>
      </c>
      <c r="S233">
        <v>87</v>
      </c>
      <c r="T233">
        <v>0</v>
      </c>
      <c r="U233">
        <v>0</v>
      </c>
      <c r="V233">
        <v>0</v>
      </c>
      <c r="W233">
        <v>0</v>
      </c>
      <c r="X233">
        <v>87</v>
      </c>
      <c r="Y233">
        <v>26</v>
      </c>
      <c r="Z233">
        <v>0</v>
      </c>
      <c r="AA233">
        <v>0</v>
      </c>
      <c r="AB233">
        <v>26</v>
      </c>
      <c r="AC233">
        <v>0</v>
      </c>
      <c r="AD233">
        <v>0</v>
      </c>
      <c r="AE233">
        <v>0</v>
      </c>
      <c r="AF233">
        <v>55</v>
      </c>
      <c r="AG233">
        <v>2</v>
      </c>
      <c r="AH233">
        <v>0</v>
      </c>
      <c r="AI233">
        <v>0</v>
      </c>
      <c r="AJ233">
        <v>0</v>
      </c>
      <c r="AK233">
        <v>0</v>
      </c>
      <c r="AL233">
        <v>0</v>
      </c>
      <c r="AM233">
        <v>0</v>
      </c>
      <c r="AN233">
        <v>1</v>
      </c>
      <c r="AO233">
        <v>1</v>
      </c>
      <c r="AP233">
        <v>1</v>
      </c>
      <c r="AQ233">
        <v>0</v>
      </c>
      <c r="AR233">
        <v>0</v>
      </c>
      <c r="AS233">
        <v>0</v>
      </c>
      <c r="AT233">
        <v>0</v>
      </c>
      <c r="AU233">
        <v>0</v>
      </c>
      <c r="AV233">
        <v>33</v>
      </c>
      <c r="AW233">
        <v>0</v>
      </c>
      <c r="AX233">
        <v>0</v>
      </c>
      <c r="AY233">
        <v>0</v>
      </c>
    </row>
    <row r="234" spans="1:51" x14ac:dyDescent="0.3">
      <c r="A234" t="s">
        <v>181</v>
      </c>
      <c r="B234" t="s">
        <v>72</v>
      </c>
      <c r="C234" t="s">
        <v>258</v>
      </c>
      <c r="D234" t="s">
        <v>337</v>
      </c>
      <c r="E234" t="s">
        <v>55</v>
      </c>
      <c r="F234">
        <v>0</v>
      </c>
      <c r="G234">
        <v>0</v>
      </c>
      <c r="H234">
        <v>0</v>
      </c>
      <c r="I234">
        <v>0</v>
      </c>
      <c r="J234">
        <v>0</v>
      </c>
      <c r="K234">
        <v>0</v>
      </c>
      <c r="L234">
        <v>1281</v>
      </c>
      <c r="M234">
        <v>109</v>
      </c>
      <c r="N234">
        <v>83</v>
      </c>
      <c r="O234">
        <v>7</v>
      </c>
      <c r="P234">
        <v>0</v>
      </c>
      <c r="Q234">
        <v>0</v>
      </c>
      <c r="R234">
        <v>38</v>
      </c>
      <c r="S234">
        <v>180</v>
      </c>
      <c r="T234">
        <v>0</v>
      </c>
      <c r="U234">
        <v>0</v>
      </c>
      <c r="V234">
        <v>0</v>
      </c>
      <c r="W234">
        <v>0</v>
      </c>
      <c r="X234">
        <v>0</v>
      </c>
      <c r="Y234">
        <v>21</v>
      </c>
      <c r="Z234">
        <v>0</v>
      </c>
      <c r="AA234">
        <v>3</v>
      </c>
      <c r="AB234">
        <v>8</v>
      </c>
      <c r="AC234">
        <v>0</v>
      </c>
      <c r="AD234">
        <v>0</v>
      </c>
      <c r="AE234">
        <v>0</v>
      </c>
      <c r="AF234">
        <v>155</v>
      </c>
      <c r="AG234">
        <v>0</v>
      </c>
      <c r="AH234">
        <v>0</v>
      </c>
      <c r="AI234">
        <v>0</v>
      </c>
      <c r="AJ234">
        <v>0</v>
      </c>
      <c r="AK234">
        <v>0</v>
      </c>
      <c r="AL234">
        <v>0</v>
      </c>
      <c r="AM234">
        <v>0</v>
      </c>
      <c r="AN234">
        <v>1</v>
      </c>
      <c r="AO234">
        <v>0</v>
      </c>
      <c r="AP234">
        <v>0</v>
      </c>
      <c r="AQ234">
        <v>0</v>
      </c>
      <c r="AR234">
        <v>0</v>
      </c>
      <c r="AS234">
        <v>0</v>
      </c>
      <c r="AT234">
        <v>0</v>
      </c>
      <c r="AU234">
        <v>0</v>
      </c>
      <c r="AV234">
        <v>0</v>
      </c>
      <c r="AW234">
        <v>0</v>
      </c>
      <c r="AX234">
        <v>0</v>
      </c>
      <c r="AY234">
        <v>0</v>
      </c>
    </row>
    <row r="235" spans="1:51" x14ac:dyDescent="0.3">
      <c r="A235" t="s">
        <v>181</v>
      </c>
      <c r="B235" t="s">
        <v>72</v>
      </c>
      <c r="C235" t="s">
        <v>246</v>
      </c>
      <c r="D235" t="s">
        <v>338</v>
      </c>
      <c r="E235" t="s">
        <v>55</v>
      </c>
      <c r="F235">
        <v>0</v>
      </c>
      <c r="G235">
        <v>0</v>
      </c>
      <c r="H235">
        <v>0</v>
      </c>
      <c r="I235">
        <v>0</v>
      </c>
      <c r="J235">
        <v>0</v>
      </c>
      <c r="K235">
        <v>0</v>
      </c>
      <c r="L235">
        <v>241</v>
      </c>
      <c r="M235">
        <v>35</v>
      </c>
      <c r="N235">
        <v>26</v>
      </c>
      <c r="O235">
        <v>3</v>
      </c>
      <c r="P235">
        <v>20</v>
      </c>
      <c r="Q235">
        <v>20</v>
      </c>
      <c r="R235">
        <v>21</v>
      </c>
      <c r="S235">
        <v>125</v>
      </c>
      <c r="T235">
        <v>0</v>
      </c>
      <c r="U235">
        <v>0</v>
      </c>
      <c r="V235">
        <v>0</v>
      </c>
      <c r="W235">
        <v>0</v>
      </c>
      <c r="X235">
        <v>6</v>
      </c>
      <c r="Y235">
        <v>54</v>
      </c>
      <c r="Z235">
        <v>1</v>
      </c>
      <c r="AA235">
        <v>1</v>
      </c>
      <c r="AB235">
        <v>14</v>
      </c>
      <c r="AC235">
        <v>1</v>
      </c>
      <c r="AD235">
        <v>0</v>
      </c>
      <c r="AE235">
        <v>0</v>
      </c>
      <c r="AF235">
        <v>19</v>
      </c>
      <c r="AG235">
        <v>0</v>
      </c>
      <c r="AH235">
        <v>0</v>
      </c>
      <c r="AI235">
        <v>0</v>
      </c>
      <c r="AJ235">
        <v>0</v>
      </c>
      <c r="AK235">
        <v>0</v>
      </c>
      <c r="AL235">
        <v>0</v>
      </c>
      <c r="AM235">
        <v>0</v>
      </c>
      <c r="AN235">
        <v>0</v>
      </c>
      <c r="AO235">
        <v>0</v>
      </c>
      <c r="AP235">
        <v>0</v>
      </c>
      <c r="AQ235">
        <v>0</v>
      </c>
      <c r="AR235">
        <v>0</v>
      </c>
      <c r="AS235">
        <v>0</v>
      </c>
      <c r="AT235">
        <v>0</v>
      </c>
      <c r="AU235">
        <v>0</v>
      </c>
      <c r="AV235">
        <v>0</v>
      </c>
      <c r="AW235">
        <v>0</v>
      </c>
      <c r="AX235">
        <v>1</v>
      </c>
      <c r="AY235">
        <v>0</v>
      </c>
    </row>
    <row r="236" spans="1:51" x14ac:dyDescent="0.3">
      <c r="A236" t="s">
        <v>181</v>
      </c>
      <c r="B236" t="s">
        <v>72</v>
      </c>
      <c r="C236" t="s">
        <v>240</v>
      </c>
      <c r="D236" t="s">
        <v>339</v>
      </c>
      <c r="E236" t="s">
        <v>55</v>
      </c>
      <c r="F236">
        <v>0</v>
      </c>
      <c r="G236">
        <v>0</v>
      </c>
      <c r="H236">
        <v>0</v>
      </c>
      <c r="I236">
        <v>0</v>
      </c>
      <c r="J236">
        <v>0</v>
      </c>
      <c r="K236">
        <v>0</v>
      </c>
      <c r="L236">
        <v>1160</v>
      </c>
      <c r="M236">
        <v>56</v>
      </c>
      <c r="N236">
        <v>45</v>
      </c>
      <c r="O236">
        <v>5</v>
      </c>
      <c r="P236">
        <v>80</v>
      </c>
      <c r="Q236">
        <v>78</v>
      </c>
      <c r="R236">
        <v>144</v>
      </c>
      <c r="S236">
        <v>155</v>
      </c>
      <c r="T236">
        <v>0</v>
      </c>
      <c r="U236">
        <v>0</v>
      </c>
      <c r="V236">
        <v>0</v>
      </c>
      <c r="W236">
        <v>0</v>
      </c>
      <c r="X236">
        <v>183</v>
      </c>
      <c r="Y236">
        <v>14</v>
      </c>
      <c r="Z236">
        <v>0</v>
      </c>
      <c r="AA236">
        <v>0</v>
      </c>
      <c r="AB236">
        <v>22</v>
      </c>
      <c r="AC236">
        <v>1</v>
      </c>
      <c r="AD236">
        <v>0</v>
      </c>
      <c r="AE236">
        <v>0</v>
      </c>
      <c r="AF236">
        <v>152</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row>
    <row r="237" spans="1:51" x14ac:dyDescent="0.3">
      <c r="A237" t="s">
        <v>181</v>
      </c>
      <c r="B237" t="s">
        <v>72</v>
      </c>
      <c r="C237" t="s">
        <v>254</v>
      </c>
      <c r="D237" t="s">
        <v>340</v>
      </c>
      <c r="E237" t="s">
        <v>55</v>
      </c>
      <c r="F237">
        <v>0</v>
      </c>
      <c r="G237">
        <v>0</v>
      </c>
      <c r="H237">
        <v>0</v>
      </c>
      <c r="I237">
        <v>0</v>
      </c>
      <c r="J237">
        <v>0</v>
      </c>
      <c r="K237">
        <v>0</v>
      </c>
      <c r="L237">
        <v>508</v>
      </c>
      <c r="M237">
        <v>95</v>
      </c>
      <c r="N237">
        <v>63</v>
      </c>
      <c r="O237">
        <v>18</v>
      </c>
      <c r="P237">
        <v>0</v>
      </c>
      <c r="Q237">
        <v>0</v>
      </c>
      <c r="R237">
        <v>143</v>
      </c>
      <c r="S237">
        <v>215</v>
      </c>
      <c r="T237">
        <v>0</v>
      </c>
      <c r="U237">
        <v>0</v>
      </c>
      <c r="V237">
        <v>0</v>
      </c>
      <c r="W237">
        <v>0</v>
      </c>
      <c r="X237">
        <v>203</v>
      </c>
      <c r="Y237">
        <v>112</v>
      </c>
      <c r="Z237">
        <v>0</v>
      </c>
      <c r="AA237">
        <v>0</v>
      </c>
      <c r="AB237">
        <v>55</v>
      </c>
      <c r="AC237">
        <v>0</v>
      </c>
      <c r="AD237">
        <v>0</v>
      </c>
      <c r="AE237">
        <v>0</v>
      </c>
      <c r="AF237">
        <v>161</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row>
    <row r="238" spans="1:51" x14ac:dyDescent="0.3">
      <c r="A238" t="s">
        <v>181</v>
      </c>
      <c r="B238" t="s">
        <v>52</v>
      </c>
      <c r="C238" t="s">
        <v>341</v>
      </c>
      <c r="D238" t="s">
        <v>342</v>
      </c>
      <c r="E238" t="s">
        <v>55</v>
      </c>
      <c r="F238">
        <v>0</v>
      </c>
      <c r="G238">
        <v>0</v>
      </c>
      <c r="H238">
        <v>0</v>
      </c>
      <c r="I238">
        <v>0</v>
      </c>
      <c r="J238">
        <v>0</v>
      </c>
      <c r="K238">
        <v>0</v>
      </c>
      <c r="L238">
        <v>1</v>
      </c>
      <c r="M238">
        <v>0</v>
      </c>
      <c r="N238">
        <v>1</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row>
    <row r="239" spans="1:51" x14ac:dyDescent="0.3">
      <c r="A239" t="s">
        <v>181</v>
      </c>
      <c r="B239" t="s">
        <v>52</v>
      </c>
      <c r="C239" t="s">
        <v>343</v>
      </c>
      <c r="D239" t="s">
        <v>344</v>
      </c>
      <c r="E239" t="s">
        <v>55</v>
      </c>
      <c r="F239">
        <v>2</v>
      </c>
      <c r="G239">
        <v>0</v>
      </c>
      <c r="H239">
        <v>0</v>
      </c>
      <c r="I239">
        <v>2</v>
      </c>
      <c r="J239">
        <v>0</v>
      </c>
      <c r="K239">
        <v>0</v>
      </c>
      <c r="L239">
        <v>11</v>
      </c>
      <c r="M239">
        <v>3</v>
      </c>
      <c r="N239">
        <v>6</v>
      </c>
      <c r="O239">
        <v>2</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row>
    <row r="240" spans="1:51" x14ac:dyDescent="0.3">
      <c r="A240" t="s">
        <v>181</v>
      </c>
      <c r="B240" t="s">
        <v>72</v>
      </c>
      <c r="C240" t="s">
        <v>156</v>
      </c>
      <c r="D240" t="s">
        <v>345</v>
      </c>
      <c r="E240" t="s">
        <v>55</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row>
    <row r="241" spans="1:51" x14ac:dyDescent="0.3">
      <c r="A241" t="s">
        <v>181</v>
      </c>
      <c r="B241" t="s">
        <v>72</v>
      </c>
      <c r="C241" t="s">
        <v>346</v>
      </c>
      <c r="D241" t="s">
        <v>347</v>
      </c>
      <c r="E241" t="s">
        <v>172</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row>
    <row r="242" spans="1:51" x14ac:dyDescent="0.3">
      <c r="A242" t="s">
        <v>181</v>
      </c>
      <c r="B242" t="s">
        <v>72</v>
      </c>
      <c r="C242" t="s">
        <v>346</v>
      </c>
      <c r="D242" t="s">
        <v>348</v>
      </c>
      <c r="E242" t="s">
        <v>172</v>
      </c>
      <c r="F242">
        <v>0</v>
      </c>
      <c r="G242">
        <v>0</v>
      </c>
      <c r="H242">
        <v>0</v>
      </c>
      <c r="I242">
        <v>0</v>
      </c>
      <c r="J242">
        <v>0</v>
      </c>
      <c r="K242">
        <v>0</v>
      </c>
      <c r="L242">
        <v>268</v>
      </c>
      <c r="M242">
        <v>2</v>
      </c>
      <c r="N242">
        <v>1</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row>
    <row r="243" spans="1:51" x14ac:dyDescent="0.3">
      <c r="A243" t="s">
        <v>181</v>
      </c>
      <c r="B243" t="s">
        <v>173</v>
      </c>
      <c r="C243" t="s">
        <v>346</v>
      </c>
      <c r="D243" t="s">
        <v>349</v>
      </c>
      <c r="E243" t="s">
        <v>172</v>
      </c>
      <c r="F243">
        <v>0</v>
      </c>
      <c r="G243">
        <v>0</v>
      </c>
      <c r="H243">
        <v>0</v>
      </c>
      <c r="I243">
        <v>0</v>
      </c>
      <c r="J243">
        <v>0</v>
      </c>
      <c r="K243">
        <v>0</v>
      </c>
      <c r="L243">
        <v>1810</v>
      </c>
      <c r="M243">
        <v>43</v>
      </c>
      <c r="N243">
        <v>53</v>
      </c>
      <c r="O243">
        <v>0</v>
      </c>
      <c r="P243">
        <v>687</v>
      </c>
      <c r="Q243">
        <v>687</v>
      </c>
      <c r="R243">
        <v>65</v>
      </c>
      <c r="S243">
        <v>0</v>
      </c>
      <c r="T243">
        <v>54</v>
      </c>
      <c r="U243">
        <v>57</v>
      </c>
      <c r="V243">
        <v>57</v>
      </c>
      <c r="W243">
        <v>0</v>
      </c>
      <c r="X243">
        <v>0</v>
      </c>
      <c r="Y243">
        <v>280</v>
      </c>
      <c r="Z243">
        <v>3</v>
      </c>
      <c r="AA243">
        <v>3</v>
      </c>
      <c r="AB243">
        <v>327</v>
      </c>
      <c r="AC243">
        <v>57</v>
      </c>
      <c r="AD243">
        <v>27</v>
      </c>
      <c r="AE243">
        <v>57</v>
      </c>
      <c r="AF243">
        <v>25</v>
      </c>
      <c r="AG243">
        <v>0</v>
      </c>
      <c r="AH243">
        <v>0</v>
      </c>
      <c r="AI243">
        <v>0</v>
      </c>
      <c r="AJ243">
        <v>0</v>
      </c>
      <c r="AK243">
        <v>0</v>
      </c>
      <c r="AL243">
        <v>50</v>
      </c>
      <c r="AM243">
        <v>50</v>
      </c>
      <c r="AN243">
        <v>0</v>
      </c>
      <c r="AO243">
        <v>0</v>
      </c>
      <c r="AP243">
        <v>0</v>
      </c>
      <c r="AQ243">
        <v>127</v>
      </c>
      <c r="AR243">
        <v>11</v>
      </c>
      <c r="AS243">
        <v>7</v>
      </c>
      <c r="AT243">
        <v>0</v>
      </c>
      <c r="AU243">
        <v>109</v>
      </c>
      <c r="AV243">
        <v>5</v>
      </c>
      <c r="AW243">
        <v>4</v>
      </c>
      <c r="AX243">
        <v>0</v>
      </c>
      <c r="AY243">
        <v>27</v>
      </c>
    </row>
    <row r="244" spans="1:51" x14ac:dyDescent="0.3">
      <c r="A244" t="s">
        <v>181</v>
      </c>
      <c r="B244" t="s">
        <v>173</v>
      </c>
      <c r="C244" t="s">
        <v>346</v>
      </c>
      <c r="D244" t="s">
        <v>350</v>
      </c>
      <c r="E244" t="s">
        <v>172</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row>
    <row r="245" spans="1:51" x14ac:dyDescent="0.3">
      <c r="A245" t="s">
        <v>181</v>
      </c>
      <c r="B245" t="s">
        <v>173</v>
      </c>
      <c r="C245" t="s">
        <v>346</v>
      </c>
      <c r="D245" t="s">
        <v>351</v>
      </c>
      <c r="E245" t="s">
        <v>172</v>
      </c>
      <c r="F245">
        <v>0</v>
      </c>
      <c r="G245">
        <v>0</v>
      </c>
      <c r="H245">
        <v>0</v>
      </c>
      <c r="I245">
        <v>0</v>
      </c>
      <c r="J245">
        <v>0</v>
      </c>
      <c r="K245">
        <v>0</v>
      </c>
      <c r="L245">
        <v>104</v>
      </c>
      <c r="M245">
        <v>0</v>
      </c>
      <c r="N245">
        <v>0</v>
      </c>
      <c r="O245">
        <v>0</v>
      </c>
      <c r="P245">
        <v>82</v>
      </c>
      <c r="Q245">
        <v>82</v>
      </c>
      <c r="R245">
        <v>8</v>
      </c>
      <c r="S245">
        <v>10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0</v>
      </c>
      <c r="AX245">
        <v>0</v>
      </c>
      <c r="AY245">
        <v>0</v>
      </c>
    </row>
    <row r="246" spans="1:51" x14ac:dyDescent="0.3">
      <c r="A246" t="s">
        <v>181</v>
      </c>
      <c r="B246" t="s">
        <v>173</v>
      </c>
      <c r="C246" t="s">
        <v>346</v>
      </c>
      <c r="D246" t="s">
        <v>352</v>
      </c>
      <c r="E246" t="s">
        <v>172</v>
      </c>
      <c r="F246">
        <v>0</v>
      </c>
      <c r="G246">
        <v>0</v>
      </c>
      <c r="H246">
        <v>0</v>
      </c>
      <c r="I246">
        <v>0</v>
      </c>
      <c r="J246">
        <v>0</v>
      </c>
      <c r="K246">
        <v>0</v>
      </c>
      <c r="L246">
        <v>113</v>
      </c>
      <c r="M246">
        <v>44</v>
      </c>
      <c r="N246">
        <v>39</v>
      </c>
      <c r="O246">
        <v>0</v>
      </c>
      <c r="P246">
        <v>20</v>
      </c>
      <c r="Q246">
        <v>22</v>
      </c>
      <c r="R246">
        <v>18</v>
      </c>
      <c r="S246">
        <v>0</v>
      </c>
      <c r="T246">
        <v>0</v>
      </c>
      <c r="U246">
        <v>1</v>
      </c>
      <c r="V246">
        <v>1</v>
      </c>
      <c r="W246">
        <v>0</v>
      </c>
      <c r="X246">
        <v>0</v>
      </c>
      <c r="Y246">
        <v>0</v>
      </c>
      <c r="Z246">
        <v>0</v>
      </c>
      <c r="AA246">
        <v>0</v>
      </c>
      <c r="AB246">
        <v>10</v>
      </c>
      <c r="AC246">
        <v>0</v>
      </c>
      <c r="AD246">
        <v>0</v>
      </c>
      <c r="AE246">
        <v>0</v>
      </c>
      <c r="AF246">
        <v>8</v>
      </c>
      <c r="AG246">
        <v>0</v>
      </c>
      <c r="AH246">
        <v>0</v>
      </c>
      <c r="AI246">
        <v>0</v>
      </c>
      <c r="AJ246">
        <v>0</v>
      </c>
      <c r="AK246">
        <v>0</v>
      </c>
      <c r="AL246">
        <v>9</v>
      </c>
      <c r="AM246">
        <v>0</v>
      </c>
      <c r="AN246">
        <v>0</v>
      </c>
      <c r="AO246">
        <v>0</v>
      </c>
      <c r="AP246">
        <v>0</v>
      </c>
      <c r="AQ246">
        <v>0</v>
      </c>
      <c r="AR246">
        <v>0</v>
      </c>
      <c r="AS246">
        <v>0</v>
      </c>
      <c r="AT246">
        <v>0</v>
      </c>
      <c r="AU246">
        <v>0</v>
      </c>
      <c r="AV246">
        <v>0</v>
      </c>
      <c r="AW246">
        <v>0</v>
      </c>
      <c r="AX246">
        <v>0</v>
      </c>
      <c r="AY246">
        <v>0</v>
      </c>
    </row>
    <row r="247" spans="1:51" x14ac:dyDescent="0.3">
      <c r="A247" t="s">
        <v>181</v>
      </c>
      <c r="B247" t="s">
        <v>173</v>
      </c>
      <c r="C247" t="s">
        <v>304</v>
      </c>
      <c r="D247" t="s">
        <v>353</v>
      </c>
      <c r="E247" t="s">
        <v>55</v>
      </c>
      <c r="F247">
        <v>0</v>
      </c>
      <c r="G247">
        <v>0</v>
      </c>
      <c r="H247">
        <v>0</v>
      </c>
      <c r="I247">
        <v>0</v>
      </c>
      <c r="J247">
        <v>0</v>
      </c>
      <c r="K247">
        <v>0</v>
      </c>
      <c r="L247">
        <v>1020</v>
      </c>
      <c r="M247">
        <v>106</v>
      </c>
      <c r="N247">
        <v>89</v>
      </c>
      <c r="O247">
        <v>4</v>
      </c>
      <c r="P247">
        <v>0</v>
      </c>
      <c r="Q247">
        <v>0</v>
      </c>
      <c r="R247">
        <v>0</v>
      </c>
      <c r="S247">
        <v>153</v>
      </c>
      <c r="T247">
        <v>85</v>
      </c>
      <c r="U247">
        <v>42</v>
      </c>
      <c r="V247">
        <v>42</v>
      </c>
      <c r="W247">
        <v>0</v>
      </c>
      <c r="X247">
        <v>305</v>
      </c>
      <c r="Y247">
        <v>93</v>
      </c>
      <c r="Z247">
        <v>0</v>
      </c>
      <c r="AA247">
        <v>4</v>
      </c>
      <c r="AB247">
        <v>103</v>
      </c>
      <c r="AC247">
        <v>73</v>
      </c>
      <c r="AD247">
        <v>18</v>
      </c>
      <c r="AE247">
        <v>49</v>
      </c>
      <c r="AF247">
        <v>146</v>
      </c>
      <c r="AG247">
        <v>1</v>
      </c>
      <c r="AH247">
        <v>0</v>
      </c>
      <c r="AI247">
        <v>0</v>
      </c>
      <c r="AJ247">
        <v>0</v>
      </c>
      <c r="AK247">
        <v>0</v>
      </c>
      <c r="AL247">
        <v>0</v>
      </c>
      <c r="AM247">
        <v>0</v>
      </c>
      <c r="AN247">
        <v>0</v>
      </c>
      <c r="AO247">
        <v>0</v>
      </c>
      <c r="AP247">
        <v>0</v>
      </c>
      <c r="AQ247">
        <v>11</v>
      </c>
      <c r="AR247">
        <v>3</v>
      </c>
      <c r="AS247">
        <v>0</v>
      </c>
      <c r="AT247">
        <v>0</v>
      </c>
      <c r="AU247">
        <v>8</v>
      </c>
      <c r="AV247">
        <v>127</v>
      </c>
      <c r="AW247">
        <v>39</v>
      </c>
      <c r="AX247">
        <v>73</v>
      </c>
      <c r="AY247">
        <v>76</v>
      </c>
    </row>
    <row r="248" spans="1:51" x14ac:dyDescent="0.3">
      <c r="A248" t="s">
        <v>181</v>
      </c>
      <c r="B248" t="s">
        <v>173</v>
      </c>
      <c r="C248" t="s">
        <v>346</v>
      </c>
      <c r="D248" t="s">
        <v>354</v>
      </c>
      <c r="E248" t="s">
        <v>172</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row>
    <row r="249" spans="1:51" x14ac:dyDescent="0.3">
      <c r="A249" t="s">
        <v>181</v>
      </c>
      <c r="B249" t="s">
        <v>173</v>
      </c>
      <c r="C249" t="s">
        <v>346</v>
      </c>
      <c r="D249" t="s">
        <v>355</v>
      </c>
      <c r="E249" t="s">
        <v>172</v>
      </c>
      <c r="F249">
        <v>0</v>
      </c>
      <c r="G249">
        <v>0</v>
      </c>
      <c r="H249">
        <v>0</v>
      </c>
      <c r="I249">
        <v>0</v>
      </c>
      <c r="J249">
        <v>0</v>
      </c>
      <c r="K249">
        <v>0</v>
      </c>
      <c r="L249">
        <v>321</v>
      </c>
      <c r="M249">
        <v>18</v>
      </c>
      <c r="N249">
        <v>12</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row>
    <row r="250" spans="1:51" x14ac:dyDescent="0.3">
      <c r="A250" t="s">
        <v>181</v>
      </c>
      <c r="B250" t="s">
        <v>173</v>
      </c>
      <c r="C250" t="s">
        <v>346</v>
      </c>
      <c r="D250" t="s">
        <v>356</v>
      </c>
      <c r="E250" t="s">
        <v>172</v>
      </c>
      <c r="F250">
        <v>0</v>
      </c>
      <c r="G250">
        <v>0</v>
      </c>
      <c r="H250">
        <v>0</v>
      </c>
      <c r="I250">
        <v>0</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0</v>
      </c>
      <c r="AK250">
        <v>0</v>
      </c>
      <c r="AL250">
        <v>0</v>
      </c>
      <c r="AM250">
        <v>0</v>
      </c>
      <c r="AN250">
        <v>0</v>
      </c>
      <c r="AO250">
        <v>0</v>
      </c>
      <c r="AP250">
        <v>0</v>
      </c>
      <c r="AQ250">
        <v>0</v>
      </c>
      <c r="AR250">
        <v>0</v>
      </c>
      <c r="AS250">
        <v>0</v>
      </c>
      <c r="AT250">
        <v>0</v>
      </c>
      <c r="AU250">
        <v>0</v>
      </c>
      <c r="AV250">
        <v>0</v>
      </c>
      <c r="AW250">
        <v>0</v>
      </c>
      <c r="AX250">
        <v>0</v>
      </c>
      <c r="AY250">
        <v>0</v>
      </c>
    </row>
    <row r="251" spans="1:51" x14ac:dyDescent="0.3">
      <c r="A251" t="s">
        <v>181</v>
      </c>
      <c r="B251" t="s">
        <v>173</v>
      </c>
      <c r="C251" t="s">
        <v>346</v>
      </c>
      <c r="D251" t="s">
        <v>357</v>
      </c>
      <c r="E251" t="s">
        <v>172</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row>
    <row r="252" spans="1:51" x14ac:dyDescent="0.3">
      <c r="A252" t="s">
        <v>181</v>
      </c>
      <c r="B252" t="s">
        <v>173</v>
      </c>
      <c r="C252" t="s">
        <v>346</v>
      </c>
      <c r="D252" t="s">
        <v>358</v>
      </c>
      <c r="E252" t="s">
        <v>172</v>
      </c>
      <c r="F252">
        <v>0</v>
      </c>
      <c r="G252">
        <v>0</v>
      </c>
      <c r="H252">
        <v>0</v>
      </c>
      <c r="I252">
        <v>0</v>
      </c>
      <c r="J252">
        <v>0</v>
      </c>
      <c r="K252">
        <v>0</v>
      </c>
      <c r="L252">
        <v>647</v>
      </c>
      <c r="M252">
        <v>92</v>
      </c>
      <c r="N252">
        <v>74</v>
      </c>
      <c r="O252">
        <v>0</v>
      </c>
      <c r="P252">
        <v>647</v>
      </c>
      <c r="Q252">
        <v>647</v>
      </c>
      <c r="R252">
        <v>218</v>
      </c>
      <c r="S252">
        <v>0</v>
      </c>
      <c r="T252">
        <v>46</v>
      </c>
      <c r="U252">
        <v>5</v>
      </c>
      <c r="V252">
        <v>5</v>
      </c>
      <c r="W252">
        <v>0</v>
      </c>
      <c r="X252">
        <v>0</v>
      </c>
      <c r="Y252">
        <v>186</v>
      </c>
      <c r="Z252">
        <v>16</v>
      </c>
      <c r="AA252">
        <v>16</v>
      </c>
      <c r="AB252">
        <v>1</v>
      </c>
      <c r="AC252">
        <v>1</v>
      </c>
      <c r="AD252">
        <v>2</v>
      </c>
      <c r="AE252">
        <v>0</v>
      </c>
      <c r="AF252">
        <v>97</v>
      </c>
      <c r="AG252">
        <v>0</v>
      </c>
      <c r="AH252">
        <v>0</v>
      </c>
      <c r="AI252">
        <v>0</v>
      </c>
      <c r="AJ252">
        <v>0</v>
      </c>
      <c r="AK252">
        <v>0</v>
      </c>
      <c r="AL252">
        <v>1</v>
      </c>
      <c r="AM252">
        <v>1</v>
      </c>
      <c r="AN252">
        <v>0</v>
      </c>
      <c r="AO252">
        <v>0</v>
      </c>
      <c r="AP252">
        <v>0</v>
      </c>
      <c r="AQ252">
        <v>3</v>
      </c>
      <c r="AR252">
        <v>3</v>
      </c>
      <c r="AS252">
        <v>0</v>
      </c>
      <c r="AT252">
        <v>0</v>
      </c>
      <c r="AU252">
        <v>0</v>
      </c>
      <c r="AV252">
        <v>0</v>
      </c>
      <c r="AW252">
        <v>0</v>
      </c>
      <c r="AX252">
        <v>0</v>
      </c>
      <c r="AY252">
        <v>0</v>
      </c>
    </row>
    <row r="253" spans="1:51" x14ac:dyDescent="0.3">
      <c r="A253" t="s">
        <v>181</v>
      </c>
      <c r="B253" t="s">
        <v>173</v>
      </c>
      <c r="C253" t="s">
        <v>346</v>
      </c>
      <c r="D253" t="s">
        <v>359</v>
      </c>
      <c r="E253" t="s">
        <v>172</v>
      </c>
      <c r="F253">
        <v>0</v>
      </c>
      <c r="G253">
        <v>0</v>
      </c>
      <c r="H253">
        <v>0</v>
      </c>
      <c r="I253">
        <v>0</v>
      </c>
      <c r="J253">
        <v>0</v>
      </c>
      <c r="K253">
        <v>0</v>
      </c>
      <c r="L253">
        <v>670</v>
      </c>
      <c r="M253">
        <v>20</v>
      </c>
      <c r="N253">
        <v>19</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row>
    <row r="254" spans="1:51" x14ac:dyDescent="0.3">
      <c r="A254" t="s">
        <v>181</v>
      </c>
      <c r="B254" t="s">
        <v>173</v>
      </c>
      <c r="C254" t="s">
        <v>346</v>
      </c>
      <c r="D254" t="s">
        <v>360</v>
      </c>
      <c r="E254" t="s">
        <v>172</v>
      </c>
      <c r="F254">
        <v>0</v>
      </c>
      <c r="G254">
        <v>0</v>
      </c>
      <c r="H254">
        <v>0</v>
      </c>
      <c r="I254">
        <v>0</v>
      </c>
      <c r="J254">
        <v>0</v>
      </c>
      <c r="K254">
        <v>0</v>
      </c>
      <c r="L254">
        <v>229</v>
      </c>
      <c r="M254">
        <v>5</v>
      </c>
      <c r="N254">
        <v>9</v>
      </c>
      <c r="O254">
        <v>0</v>
      </c>
      <c r="P254">
        <v>220</v>
      </c>
      <c r="Q254">
        <v>220</v>
      </c>
      <c r="R254">
        <v>14</v>
      </c>
      <c r="S254">
        <v>34</v>
      </c>
      <c r="T254">
        <v>0</v>
      </c>
      <c r="U254">
        <v>0</v>
      </c>
      <c r="V254">
        <v>0</v>
      </c>
      <c r="W254">
        <v>0</v>
      </c>
      <c r="X254">
        <v>37</v>
      </c>
      <c r="Y254">
        <v>6</v>
      </c>
      <c r="Z254">
        <v>0</v>
      </c>
      <c r="AA254">
        <v>0</v>
      </c>
      <c r="AB254">
        <v>0</v>
      </c>
      <c r="AC254">
        <v>0</v>
      </c>
      <c r="AD254">
        <v>0</v>
      </c>
      <c r="AE254">
        <v>0</v>
      </c>
      <c r="AF254">
        <v>1</v>
      </c>
      <c r="AG254">
        <v>0</v>
      </c>
      <c r="AH254">
        <v>0</v>
      </c>
      <c r="AI254">
        <v>0</v>
      </c>
      <c r="AJ254">
        <v>0</v>
      </c>
      <c r="AK254">
        <v>0</v>
      </c>
      <c r="AL254">
        <v>5</v>
      </c>
      <c r="AM254">
        <v>5</v>
      </c>
      <c r="AN254">
        <v>0</v>
      </c>
      <c r="AO254">
        <v>0</v>
      </c>
      <c r="AP254">
        <v>0</v>
      </c>
      <c r="AQ254">
        <v>0</v>
      </c>
      <c r="AR254">
        <v>0</v>
      </c>
      <c r="AS254">
        <v>0</v>
      </c>
      <c r="AT254">
        <v>0</v>
      </c>
      <c r="AU254">
        <v>0</v>
      </c>
      <c r="AV254">
        <v>0</v>
      </c>
      <c r="AW254">
        <v>0</v>
      </c>
      <c r="AX254">
        <v>0</v>
      </c>
      <c r="AY254">
        <v>0</v>
      </c>
    </row>
    <row r="255" spans="1:51" x14ac:dyDescent="0.3">
      <c r="A255" t="s">
        <v>181</v>
      </c>
      <c r="B255" t="s">
        <v>173</v>
      </c>
      <c r="C255" t="s">
        <v>346</v>
      </c>
      <c r="D255" t="s">
        <v>361</v>
      </c>
      <c r="E255" t="s">
        <v>172</v>
      </c>
      <c r="F255">
        <v>0</v>
      </c>
      <c r="G255">
        <v>0</v>
      </c>
      <c r="H255">
        <v>0</v>
      </c>
      <c r="I255">
        <v>0</v>
      </c>
      <c r="J255">
        <v>0</v>
      </c>
      <c r="K255">
        <v>0</v>
      </c>
      <c r="L255">
        <v>0</v>
      </c>
      <c r="M255">
        <v>0</v>
      </c>
      <c r="N255">
        <v>0</v>
      </c>
      <c r="O255">
        <v>0</v>
      </c>
      <c r="P255">
        <v>0</v>
      </c>
      <c r="Q255">
        <v>0</v>
      </c>
      <c r="R255">
        <v>0</v>
      </c>
      <c r="S255">
        <v>0</v>
      </c>
      <c r="T255">
        <v>0</v>
      </c>
      <c r="U255">
        <v>3</v>
      </c>
      <c r="V255">
        <v>3</v>
      </c>
      <c r="W255">
        <v>2</v>
      </c>
      <c r="X255">
        <v>0</v>
      </c>
      <c r="Y255">
        <v>0</v>
      </c>
      <c r="Z255">
        <v>0</v>
      </c>
      <c r="AA255">
        <v>0</v>
      </c>
      <c r="AB255">
        <v>11</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row>
    <row r="256" spans="1:51" x14ac:dyDescent="0.3">
      <c r="A256" t="s">
        <v>181</v>
      </c>
      <c r="B256" t="s">
        <v>173</v>
      </c>
      <c r="C256" t="s">
        <v>346</v>
      </c>
      <c r="D256" t="s">
        <v>362</v>
      </c>
      <c r="E256" t="s">
        <v>172</v>
      </c>
      <c r="F256">
        <v>0</v>
      </c>
      <c r="G256">
        <v>0</v>
      </c>
      <c r="H256">
        <v>0</v>
      </c>
      <c r="I256">
        <v>0</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0</v>
      </c>
      <c r="AJ256">
        <v>0</v>
      </c>
      <c r="AK256">
        <v>0</v>
      </c>
      <c r="AL256">
        <v>0</v>
      </c>
      <c r="AM256">
        <v>0</v>
      </c>
      <c r="AN256">
        <v>0</v>
      </c>
      <c r="AO256">
        <v>0</v>
      </c>
      <c r="AP256">
        <v>0</v>
      </c>
      <c r="AQ256">
        <v>0</v>
      </c>
      <c r="AR256">
        <v>0</v>
      </c>
      <c r="AS256">
        <v>0</v>
      </c>
      <c r="AT256">
        <v>0</v>
      </c>
      <c r="AU256">
        <v>0</v>
      </c>
      <c r="AV256">
        <v>0</v>
      </c>
      <c r="AW256">
        <v>0</v>
      </c>
      <c r="AX256">
        <v>0</v>
      </c>
      <c r="AY256">
        <v>0</v>
      </c>
    </row>
    <row r="257" spans="1:51" x14ac:dyDescent="0.3">
      <c r="A257" t="s">
        <v>181</v>
      </c>
      <c r="B257" t="s">
        <v>173</v>
      </c>
      <c r="C257" t="s">
        <v>346</v>
      </c>
      <c r="D257" t="s">
        <v>363</v>
      </c>
      <c r="E257" t="s">
        <v>172</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row>
    <row r="258" spans="1:51" x14ac:dyDescent="0.3">
      <c r="A258" t="s">
        <v>364</v>
      </c>
      <c r="B258" t="s">
        <v>52</v>
      </c>
      <c r="C258" t="s">
        <v>365</v>
      </c>
      <c r="D258" t="s">
        <v>366</v>
      </c>
      <c r="E258" t="s">
        <v>55</v>
      </c>
      <c r="F258">
        <v>35</v>
      </c>
      <c r="G258">
        <v>0</v>
      </c>
      <c r="H258">
        <v>0</v>
      </c>
      <c r="I258">
        <v>35</v>
      </c>
      <c r="J258">
        <v>0</v>
      </c>
      <c r="K258">
        <v>35</v>
      </c>
      <c r="L258">
        <v>144</v>
      </c>
      <c r="M258">
        <v>2</v>
      </c>
      <c r="N258">
        <v>0</v>
      </c>
      <c r="O258">
        <v>0</v>
      </c>
      <c r="P258">
        <v>32</v>
      </c>
      <c r="Q258">
        <v>32</v>
      </c>
      <c r="R258">
        <v>11</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row>
    <row r="259" spans="1:51" x14ac:dyDescent="0.3">
      <c r="A259" t="s">
        <v>364</v>
      </c>
      <c r="B259" t="s">
        <v>52</v>
      </c>
      <c r="C259" t="s">
        <v>367</v>
      </c>
      <c r="D259" t="s">
        <v>368</v>
      </c>
      <c r="E259" t="s">
        <v>55</v>
      </c>
      <c r="F259">
        <v>31</v>
      </c>
      <c r="G259">
        <v>0</v>
      </c>
      <c r="H259">
        <v>0</v>
      </c>
      <c r="I259">
        <v>31</v>
      </c>
      <c r="J259">
        <v>0</v>
      </c>
      <c r="K259">
        <v>31</v>
      </c>
      <c r="L259">
        <v>176</v>
      </c>
      <c r="M259">
        <v>0</v>
      </c>
      <c r="N259">
        <v>0</v>
      </c>
      <c r="O259">
        <v>0</v>
      </c>
      <c r="P259">
        <v>25</v>
      </c>
      <c r="Q259">
        <v>25</v>
      </c>
      <c r="R259">
        <v>23</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2</v>
      </c>
      <c r="AO259">
        <v>0</v>
      </c>
      <c r="AP259">
        <v>0</v>
      </c>
      <c r="AQ259">
        <v>0</v>
      </c>
      <c r="AR259">
        <v>0</v>
      </c>
      <c r="AS259">
        <v>0</v>
      </c>
      <c r="AT259">
        <v>0</v>
      </c>
      <c r="AU259">
        <v>0</v>
      </c>
      <c r="AV259">
        <v>1</v>
      </c>
      <c r="AW259">
        <v>0</v>
      </c>
      <c r="AX259">
        <v>0</v>
      </c>
      <c r="AY259">
        <v>0</v>
      </c>
    </row>
    <row r="260" spans="1:51" x14ac:dyDescent="0.3">
      <c r="A260" t="s">
        <v>364</v>
      </c>
      <c r="B260" t="s">
        <v>52</v>
      </c>
      <c r="C260" t="s">
        <v>369</v>
      </c>
      <c r="D260" t="s">
        <v>370</v>
      </c>
      <c r="E260" t="s">
        <v>55</v>
      </c>
      <c r="F260">
        <v>17</v>
      </c>
      <c r="G260">
        <v>0</v>
      </c>
      <c r="H260">
        <v>0</v>
      </c>
      <c r="I260">
        <v>17</v>
      </c>
      <c r="J260">
        <v>0</v>
      </c>
      <c r="K260">
        <v>17</v>
      </c>
      <c r="L260">
        <v>114</v>
      </c>
      <c r="M260">
        <v>0</v>
      </c>
      <c r="N260">
        <v>0</v>
      </c>
      <c r="O260">
        <v>0</v>
      </c>
      <c r="P260">
        <v>15</v>
      </c>
      <c r="Q260">
        <v>15</v>
      </c>
      <c r="R260">
        <v>15</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0</v>
      </c>
      <c r="AV260">
        <v>0</v>
      </c>
      <c r="AW260">
        <v>0</v>
      </c>
      <c r="AX260">
        <v>0</v>
      </c>
      <c r="AY260">
        <v>0</v>
      </c>
    </row>
    <row r="261" spans="1:51" x14ac:dyDescent="0.3">
      <c r="A261" t="s">
        <v>364</v>
      </c>
      <c r="B261" t="s">
        <v>52</v>
      </c>
      <c r="C261" t="s">
        <v>365</v>
      </c>
      <c r="D261" t="s">
        <v>371</v>
      </c>
      <c r="E261" t="s">
        <v>55</v>
      </c>
      <c r="F261">
        <v>11</v>
      </c>
      <c r="G261">
        <v>0</v>
      </c>
      <c r="H261">
        <v>0</v>
      </c>
      <c r="I261">
        <v>11</v>
      </c>
      <c r="J261">
        <v>0</v>
      </c>
      <c r="K261">
        <v>11</v>
      </c>
      <c r="L261">
        <v>40</v>
      </c>
      <c r="M261">
        <v>2</v>
      </c>
      <c r="N261">
        <v>2</v>
      </c>
      <c r="O261">
        <v>1</v>
      </c>
      <c r="P261">
        <v>9</v>
      </c>
      <c r="Q261">
        <v>9</v>
      </c>
      <c r="R261">
        <v>5</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row>
    <row r="262" spans="1:51" x14ac:dyDescent="0.3">
      <c r="A262" t="s">
        <v>364</v>
      </c>
      <c r="B262" t="s">
        <v>52</v>
      </c>
      <c r="C262" t="s">
        <v>369</v>
      </c>
      <c r="D262" t="s">
        <v>372</v>
      </c>
      <c r="E262" t="s">
        <v>55</v>
      </c>
      <c r="F262">
        <v>23</v>
      </c>
      <c r="G262">
        <v>0</v>
      </c>
      <c r="H262">
        <v>0</v>
      </c>
      <c r="I262">
        <v>21</v>
      </c>
      <c r="J262">
        <v>0</v>
      </c>
      <c r="K262">
        <v>23</v>
      </c>
      <c r="L262">
        <v>155</v>
      </c>
      <c r="M262">
        <v>2</v>
      </c>
      <c r="N262">
        <v>3</v>
      </c>
      <c r="O262">
        <v>0</v>
      </c>
      <c r="P262">
        <v>17</v>
      </c>
      <c r="Q262">
        <v>17</v>
      </c>
      <c r="R262">
        <v>17</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row>
    <row r="263" spans="1:51" x14ac:dyDescent="0.3">
      <c r="A263" t="s">
        <v>364</v>
      </c>
      <c r="B263" t="s">
        <v>52</v>
      </c>
      <c r="C263" t="s">
        <v>373</v>
      </c>
      <c r="D263" t="s">
        <v>374</v>
      </c>
      <c r="E263" t="s">
        <v>55</v>
      </c>
      <c r="F263">
        <v>67</v>
      </c>
      <c r="G263">
        <v>0</v>
      </c>
      <c r="H263">
        <v>0</v>
      </c>
      <c r="I263">
        <v>67</v>
      </c>
      <c r="J263">
        <v>0</v>
      </c>
      <c r="K263">
        <v>67</v>
      </c>
      <c r="L263">
        <v>336</v>
      </c>
      <c r="M263">
        <v>2</v>
      </c>
      <c r="N263">
        <v>5</v>
      </c>
      <c r="O263">
        <v>0</v>
      </c>
      <c r="P263">
        <v>46</v>
      </c>
      <c r="Q263">
        <v>35</v>
      </c>
      <c r="R263">
        <v>57</v>
      </c>
      <c r="S263">
        <v>0</v>
      </c>
      <c r="T263">
        <v>0</v>
      </c>
      <c r="U263">
        <v>0</v>
      </c>
      <c r="V263">
        <v>0</v>
      </c>
      <c r="W263">
        <v>0</v>
      </c>
      <c r="X263">
        <v>26</v>
      </c>
      <c r="Y263">
        <v>4</v>
      </c>
      <c r="Z263">
        <v>0</v>
      </c>
      <c r="AA263">
        <v>0</v>
      </c>
      <c r="AB263">
        <v>0</v>
      </c>
      <c r="AC263">
        <v>0</v>
      </c>
      <c r="AD263">
        <v>0</v>
      </c>
      <c r="AE263">
        <v>0</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row>
    <row r="264" spans="1:51" x14ac:dyDescent="0.3">
      <c r="A264" t="s">
        <v>364</v>
      </c>
      <c r="B264" t="s">
        <v>52</v>
      </c>
      <c r="C264" t="s">
        <v>367</v>
      </c>
      <c r="D264" t="s">
        <v>375</v>
      </c>
      <c r="E264" t="s">
        <v>55</v>
      </c>
      <c r="F264">
        <v>23</v>
      </c>
      <c r="G264">
        <v>0</v>
      </c>
      <c r="H264">
        <v>0</v>
      </c>
      <c r="I264">
        <v>23</v>
      </c>
      <c r="J264">
        <v>0</v>
      </c>
      <c r="K264">
        <v>23</v>
      </c>
      <c r="L264">
        <v>107</v>
      </c>
      <c r="M264">
        <v>0</v>
      </c>
      <c r="N264">
        <v>3</v>
      </c>
      <c r="O264">
        <v>0</v>
      </c>
      <c r="P264">
        <v>12</v>
      </c>
      <c r="Q264">
        <v>12</v>
      </c>
      <c r="R264">
        <v>11</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1</v>
      </c>
      <c r="AW264">
        <v>0</v>
      </c>
      <c r="AX264">
        <v>0</v>
      </c>
      <c r="AY264">
        <v>0</v>
      </c>
    </row>
    <row r="265" spans="1:51" x14ac:dyDescent="0.3">
      <c r="A265" t="s">
        <v>364</v>
      </c>
      <c r="B265" t="s">
        <v>52</v>
      </c>
      <c r="C265" t="s">
        <v>376</v>
      </c>
      <c r="D265" t="s">
        <v>377</v>
      </c>
      <c r="E265" t="s">
        <v>55</v>
      </c>
      <c r="F265">
        <v>21</v>
      </c>
      <c r="G265">
        <v>0</v>
      </c>
      <c r="H265">
        <v>0</v>
      </c>
      <c r="I265">
        <v>21</v>
      </c>
      <c r="J265">
        <v>0</v>
      </c>
      <c r="K265">
        <v>20</v>
      </c>
      <c r="L265">
        <v>142</v>
      </c>
      <c r="M265">
        <v>0</v>
      </c>
      <c r="N265">
        <v>0</v>
      </c>
      <c r="O265">
        <v>0</v>
      </c>
      <c r="P265">
        <v>25</v>
      </c>
      <c r="Q265">
        <v>0</v>
      </c>
      <c r="R265">
        <v>20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row>
    <row r="266" spans="1:51" x14ac:dyDescent="0.3">
      <c r="A266" t="s">
        <v>364</v>
      </c>
      <c r="B266" t="s">
        <v>52</v>
      </c>
      <c r="C266" t="s">
        <v>378</v>
      </c>
      <c r="D266" t="s">
        <v>379</v>
      </c>
      <c r="E266" t="s">
        <v>55</v>
      </c>
      <c r="F266">
        <v>40</v>
      </c>
      <c r="G266">
        <v>0</v>
      </c>
      <c r="H266">
        <v>0</v>
      </c>
      <c r="I266">
        <v>40</v>
      </c>
      <c r="J266">
        <v>0</v>
      </c>
      <c r="K266">
        <v>40</v>
      </c>
      <c r="L266">
        <v>203</v>
      </c>
      <c r="M266">
        <v>2</v>
      </c>
      <c r="N266">
        <v>6</v>
      </c>
      <c r="O266">
        <v>0</v>
      </c>
      <c r="P266">
        <v>46</v>
      </c>
      <c r="Q266">
        <v>46</v>
      </c>
      <c r="R266">
        <v>0</v>
      </c>
      <c r="S266">
        <v>22</v>
      </c>
      <c r="T266">
        <v>0</v>
      </c>
      <c r="U266">
        <v>0</v>
      </c>
      <c r="V266">
        <v>0</v>
      </c>
      <c r="W266">
        <v>0</v>
      </c>
      <c r="X266">
        <v>0</v>
      </c>
      <c r="Y266">
        <v>0</v>
      </c>
      <c r="Z266">
        <v>0</v>
      </c>
      <c r="AA266">
        <v>0</v>
      </c>
      <c r="AB266">
        <v>0</v>
      </c>
      <c r="AC266">
        <v>0</v>
      </c>
      <c r="AD266">
        <v>0</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row>
    <row r="267" spans="1:51" x14ac:dyDescent="0.3">
      <c r="A267" t="s">
        <v>364</v>
      </c>
      <c r="B267" t="s">
        <v>52</v>
      </c>
      <c r="C267" t="s">
        <v>380</v>
      </c>
      <c r="D267" t="s">
        <v>381</v>
      </c>
      <c r="E267" t="s">
        <v>55</v>
      </c>
      <c r="F267">
        <v>25</v>
      </c>
      <c r="G267">
        <v>0</v>
      </c>
      <c r="H267">
        <v>0</v>
      </c>
      <c r="I267">
        <v>25</v>
      </c>
      <c r="J267">
        <v>0</v>
      </c>
      <c r="K267">
        <v>24</v>
      </c>
      <c r="L267">
        <v>167</v>
      </c>
      <c r="M267">
        <v>4</v>
      </c>
      <c r="N267">
        <v>2</v>
      </c>
      <c r="O267">
        <v>1</v>
      </c>
      <c r="P267">
        <v>21</v>
      </c>
      <c r="Q267">
        <v>21</v>
      </c>
      <c r="R267">
        <v>22</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6</v>
      </c>
      <c r="AW267">
        <v>0</v>
      </c>
      <c r="AX267">
        <v>0</v>
      </c>
      <c r="AY267">
        <v>0</v>
      </c>
    </row>
    <row r="268" spans="1:51" x14ac:dyDescent="0.3">
      <c r="A268" t="s">
        <v>364</v>
      </c>
      <c r="B268" t="s">
        <v>52</v>
      </c>
      <c r="C268" t="s">
        <v>373</v>
      </c>
      <c r="D268" t="s">
        <v>382</v>
      </c>
      <c r="E268" t="s">
        <v>55</v>
      </c>
      <c r="F268">
        <v>46</v>
      </c>
      <c r="G268">
        <v>0</v>
      </c>
      <c r="H268">
        <v>0</v>
      </c>
      <c r="I268">
        <v>46</v>
      </c>
      <c r="J268">
        <v>0</v>
      </c>
      <c r="K268">
        <v>46</v>
      </c>
      <c r="L268">
        <v>241</v>
      </c>
      <c r="M268">
        <v>2</v>
      </c>
      <c r="N268">
        <v>0</v>
      </c>
      <c r="O268">
        <v>1</v>
      </c>
      <c r="P268">
        <v>47</v>
      </c>
      <c r="Q268">
        <v>47</v>
      </c>
      <c r="R268">
        <v>18</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2</v>
      </c>
      <c r="AW268">
        <v>0</v>
      </c>
      <c r="AX268">
        <v>0</v>
      </c>
      <c r="AY268">
        <v>0</v>
      </c>
    </row>
    <row r="269" spans="1:51" x14ac:dyDescent="0.3">
      <c r="A269" t="s">
        <v>364</v>
      </c>
      <c r="B269" t="s">
        <v>52</v>
      </c>
      <c r="C269" t="s">
        <v>383</v>
      </c>
      <c r="D269" t="s">
        <v>384</v>
      </c>
      <c r="E269" t="s">
        <v>55</v>
      </c>
      <c r="F269">
        <v>17</v>
      </c>
      <c r="G269">
        <v>0</v>
      </c>
      <c r="H269">
        <v>0</v>
      </c>
      <c r="I269">
        <v>17</v>
      </c>
      <c r="J269">
        <v>0</v>
      </c>
      <c r="K269">
        <v>17</v>
      </c>
      <c r="L269">
        <v>103</v>
      </c>
      <c r="M269">
        <v>0</v>
      </c>
      <c r="N269">
        <v>0</v>
      </c>
      <c r="O269">
        <v>0</v>
      </c>
      <c r="P269">
        <v>10</v>
      </c>
      <c r="Q269">
        <v>10</v>
      </c>
      <c r="R269">
        <v>1</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row>
    <row r="270" spans="1:51" x14ac:dyDescent="0.3">
      <c r="A270" t="s">
        <v>364</v>
      </c>
      <c r="B270" t="s">
        <v>52</v>
      </c>
      <c r="C270" t="s">
        <v>385</v>
      </c>
      <c r="D270" t="s">
        <v>386</v>
      </c>
      <c r="E270" t="s">
        <v>55</v>
      </c>
      <c r="F270">
        <v>23</v>
      </c>
      <c r="G270">
        <v>0</v>
      </c>
      <c r="H270">
        <v>0</v>
      </c>
      <c r="I270">
        <v>23</v>
      </c>
      <c r="J270">
        <v>0</v>
      </c>
      <c r="K270">
        <v>23</v>
      </c>
      <c r="L270">
        <v>120</v>
      </c>
      <c r="M270">
        <v>4</v>
      </c>
      <c r="N270">
        <v>4</v>
      </c>
      <c r="O270">
        <v>0</v>
      </c>
      <c r="P270">
        <v>23</v>
      </c>
      <c r="Q270">
        <v>21</v>
      </c>
      <c r="R270">
        <v>23</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row>
    <row r="271" spans="1:51" x14ac:dyDescent="0.3">
      <c r="A271" t="s">
        <v>364</v>
      </c>
      <c r="B271" t="s">
        <v>52</v>
      </c>
      <c r="C271" t="s">
        <v>373</v>
      </c>
      <c r="D271" t="s">
        <v>387</v>
      </c>
      <c r="E271" t="s">
        <v>55</v>
      </c>
      <c r="F271">
        <v>26</v>
      </c>
      <c r="G271">
        <v>0</v>
      </c>
      <c r="H271">
        <v>0</v>
      </c>
      <c r="I271">
        <v>26</v>
      </c>
      <c r="J271">
        <v>0</v>
      </c>
      <c r="K271">
        <v>26</v>
      </c>
      <c r="L271">
        <v>203</v>
      </c>
      <c r="M271">
        <v>7</v>
      </c>
      <c r="N271">
        <v>5</v>
      </c>
      <c r="O271">
        <v>1</v>
      </c>
      <c r="P271">
        <v>39</v>
      </c>
      <c r="Q271">
        <v>39</v>
      </c>
      <c r="R271">
        <v>31</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7</v>
      </c>
      <c r="AW271">
        <v>0</v>
      </c>
      <c r="AX271">
        <v>0</v>
      </c>
      <c r="AY271">
        <v>0</v>
      </c>
    </row>
    <row r="272" spans="1:51" x14ac:dyDescent="0.3">
      <c r="A272" t="s">
        <v>364</v>
      </c>
      <c r="B272" t="s">
        <v>52</v>
      </c>
      <c r="C272" t="s">
        <v>388</v>
      </c>
      <c r="D272" t="s">
        <v>389</v>
      </c>
      <c r="E272" t="s">
        <v>55</v>
      </c>
      <c r="F272">
        <v>35</v>
      </c>
      <c r="G272">
        <v>0</v>
      </c>
      <c r="H272">
        <v>0</v>
      </c>
      <c r="I272">
        <v>35</v>
      </c>
      <c r="J272">
        <v>0</v>
      </c>
      <c r="K272">
        <v>35</v>
      </c>
      <c r="L272">
        <v>98</v>
      </c>
      <c r="M272">
        <v>2</v>
      </c>
      <c r="N272">
        <v>1</v>
      </c>
      <c r="O272">
        <v>0</v>
      </c>
      <c r="P272">
        <v>32</v>
      </c>
      <c r="Q272">
        <v>32</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37</v>
      </c>
      <c r="AO272">
        <v>0</v>
      </c>
      <c r="AP272">
        <v>0</v>
      </c>
      <c r="AQ272">
        <v>0</v>
      </c>
      <c r="AR272">
        <v>0</v>
      </c>
      <c r="AS272">
        <v>0</v>
      </c>
      <c r="AT272">
        <v>0</v>
      </c>
      <c r="AU272">
        <v>0</v>
      </c>
      <c r="AV272">
        <v>0</v>
      </c>
      <c r="AW272">
        <v>0</v>
      </c>
      <c r="AX272">
        <v>0</v>
      </c>
      <c r="AY272">
        <v>0</v>
      </c>
    </row>
    <row r="273" spans="1:51" x14ac:dyDescent="0.3">
      <c r="A273" t="s">
        <v>364</v>
      </c>
      <c r="B273" t="s">
        <v>52</v>
      </c>
      <c r="C273" t="s">
        <v>390</v>
      </c>
      <c r="D273" t="s">
        <v>391</v>
      </c>
      <c r="E273" t="s">
        <v>55</v>
      </c>
      <c r="F273">
        <v>31</v>
      </c>
      <c r="G273">
        <v>0</v>
      </c>
      <c r="H273">
        <v>0</v>
      </c>
      <c r="I273">
        <v>31</v>
      </c>
      <c r="J273">
        <v>0</v>
      </c>
      <c r="K273">
        <v>31</v>
      </c>
      <c r="L273">
        <v>211</v>
      </c>
      <c r="M273">
        <v>0</v>
      </c>
      <c r="N273">
        <v>0</v>
      </c>
      <c r="O273">
        <v>0</v>
      </c>
      <c r="P273">
        <v>21</v>
      </c>
      <c r="Q273">
        <v>18</v>
      </c>
      <c r="R273">
        <v>16</v>
      </c>
      <c r="S273">
        <v>11</v>
      </c>
      <c r="T273">
        <v>0</v>
      </c>
      <c r="U273">
        <v>0</v>
      </c>
      <c r="V273">
        <v>0</v>
      </c>
      <c r="W273">
        <v>0</v>
      </c>
      <c r="X273">
        <v>0</v>
      </c>
      <c r="Y273">
        <v>2</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4</v>
      </c>
      <c r="AW273">
        <v>0</v>
      </c>
      <c r="AX273">
        <v>0</v>
      </c>
      <c r="AY273">
        <v>0</v>
      </c>
    </row>
    <row r="274" spans="1:51" x14ac:dyDescent="0.3">
      <c r="A274" t="s">
        <v>364</v>
      </c>
      <c r="B274" t="s">
        <v>52</v>
      </c>
      <c r="C274" t="s">
        <v>365</v>
      </c>
      <c r="D274" t="s">
        <v>392</v>
      </c>
      <c r="E274" t="s">
        <v>55</v>
      </c>
      <c r="F274">
        <v>14</v>
      </c>
      <c r="G274">
        <v>0</v>
      </c>
      <c r="H274">
        <v>0</v>
      </c>
      <c r="I274">
        <v>11</v>
      </c>
      <c r="J274">
        <v>0</v>
      </c>
      <c r="K274">
        <v>14</v>
      </c>
      <c r="L274">
        <v>102</v>
      </c>
      <c r="M274">
        <v>5</v>
      </c>
      <c r="N274">
        <v>8</v>
      </c>
      <c r="O274">
        <v>0</v>
      </c>
      <c r="P274">
        <v>10</v>
      </c>
      <c r="Q274">
        <v>10</v>
      </c>
      <c r="R274">
        <v>11</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row>
    <row r="275" spans="1:51" x14ac:dyDescent="0.3">
      <c r="A275" t="s">
        <v>364</v>
      </c>
      <c r="B275" t="s">
        <v>52</v>
      </c>
      <c r="C275" t="s">
        <v>373</v>
      </c>
      <c r="D275" t="s">
        <v>393</v>
      </c>
      <c r="E275" t="s">
        <v>55</v>
      </c>
      <c r="F275">
        <v>81</v>
      </c>
      <c r="G275">
        <v>0</v>
      </c>
      <c r="H275">
        <v>0</v>
      </c>
      <c r="I275">
        <v>81</v>
      </c>
      <c r="J275">
        <v>0</v>
      </c>
      <c r="K275">
        <v>81</v>
      </c>
      <c r="L275">
        <v>375</v>
      </c>
      <c r="M275">
        <v>6</v>
      </c>
      <c r="N275">
        <v>2</v>
      </c>
      <c r="O275">
        <v>1</v>
      </c>
      <c r="P275">
        <v>45</v>
      </c>
      <c r="Q275">
        <v>31</v>
      </c>
      <c r="R275">
        <v>57</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row>
    <row r="276" spans="1:51" x14ac:dyDescent="0.3">
      <c r="A276" t="s">
        <v>364</v>
      </c>
      <c r="B276" t="s">
        <v>52</v>
      </c>
      <c r="C276" t="s">
        <v>369</v>
      </c>
      <c r="D276" t="s">
        <v>394</v>
      </c>
      <c r="E276" t="s">
        <v>55</v>
      </c>
      <c r="F276">
        <v>35</v>
      </c>
      <c r="G276">
        <v>0</v>
      </c>
      <c r="H276">
        <v>0</v>
      </c>
      <c r="I276">
        <v>34</v>
      </c>
      <c r="J276">
        <v>0</v>
      </c>
      <c r="K276">
        <v>35</v>
      </c>
      <c r="L276">
        <v>218</v>
      </c>
      <c r="M276">
        <v>3</v>
      </c>
      <c r="N276">
        <v>3</v>
      </c>
      <c r="O276">
        <v>0</v>
      </c>
      <c r="P276">
        <v>30</v>
      </c>
      <c r="Q276">
        <v>30</v>
      </c>
      <c r="R276">
        <v>23</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row>
    <row r="277" spans="1:51" x14ac:dyDescent="0.3">
      <c r="A277" t="s">
        <v>364</v>
      </c>
      <c r="B277" t="s">
        <v>52</v>
      </c>
      <c r="C277" t="s">
        <v>373</v>
      </c>
      <c r="D277" t="s">
        <v>395</v>
      </c>
      <c r="E277" t="s">
        <v>55</v>
      </c>
      <c r="F277">
        <v>29</v>
      </c>
      <c r="G277">
        <v>0</v>
      </c>
      <c r="H277">
        <v>0</v>
      </c>
      <c r="I277">
        <v>29</v>
      </c>
      <c r="J277">
        <v>0</v>
      </c>
      <c r="K277">
        <v>29</v>
      </c>
      <c r="L277">
        <v>182</v>
      </c>
      <c r="M277">
        <v>2</v>
      </c>
      <c r="N277">
        <v>4</v>
      </c>
      <c r="O277">
        <v>2</v>
      </c>
      <c r="P277">
        <v>33</v>
      </c>
      <c r="Q277">
        <v>33</v>
      </c>
      <c r="R277">
        <v>29</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10</v>
      </c>
      <c r="AW277">
        <v>0</v>
      </c>
      <c r="AX277">
        <v>0</v>
      </c>
      <c r="AY277">
        <v>0</v>
      </c>
    </row>
    <row r="278" spans="1:51" x14ac:dyDescent="0.3">
      <c r="A278" t="s">
        <v>364</v>
      </c>
      <c r="B278" t="s">
        <v>52</v>
      </c>
      <c r="C278" t="s">
        <v>383</v>
      </c>
      <c r="D278" t="s">
        <v>396</v>
      </c>
      <c r="E278" t="s">
        <v>55</v>
      </c>
      <c r="F278">
        <v>20</v>
      </c>
      <c r="G278">
        <v>0</v>
      </c>
      <c r="H278">
        <v>0</v>
      </c>
      <c r="I278">
        <v>20</v>
      </c>
      <c r="J278">
        <v>0</v>
      </c>
      <c r="K278">
        <v>5</v>
      </c>
      <c r="L278">
        <v>90</v>
      </c>
      <c r="M278">
        <v>0</v>
      </c>
      <c r="N278">
        <v>0</v>
      </c>
      <c r="O278">
        <v>0</v>
      </c>
      <c r="P278">
        <v>14</v>
      </c>
      <c r="Q278">
        <v>14</v>
      </c>
      <c r="R278">
        <v>11</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row>
    <row r="279" spans="1:51" x14ac:dyDescent="0.3">
      <c r="A279" t="s">
        <v>364</v>
      </c>
      <c r="B279" t="s">
        <v>52</v>
      </c>
      <c r="C279" t="s">
        <v>385</v>
      </c>
      <c r="D279" t="s">
        <v>397</v>
      </c>
      <c r="E279" t="s">
        <v>55</v>
      </c>
      <c r="F279">
        <v>38</v>
      </c>
      <c r="G279">
        <v>0</v>
      </c>
      <c r="H279">
        <v>0</v>
      </c>
      <c r="I279">
        <v>38</v>
      </c>
      <c r="J279">
        <v>0</v>
      </c>
      <c r="K279">
        <v>38</v>
      </c>
      <c r="L279">
        <v>242</v>
      </c>
      <c r="M279">
        <v>0</v>
      </c>
      <c r="N279">
        <v>0</v>
      </c>
      <c r="O279">
        <v>0</v>
      </c>
      <c r="P279">
        <v>40</v>
      </c>
      <c r="Q279">
        <v>40</v>
      </c>
      <c r="R279">
        <v>29</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row>
    <row r="280" spans="1:51" x14ac:dyDescent="0.3">
      <c r="A280" t="s">
        <v>364</v>
      </c>
      <c r="B280" t="s">
        <v>52</v>
      </c>
      <c r="C280" t="s">
        <v>383</v>
      </c>
      <c r="D280" t="s">
        <v>398</v>
      </c>
      <c r="E280" t="s">
        <v>55</v>
      </c>
      <c r="F280">
        <v>12</v>
      </c>
      <c r="G280">
        <v>0</v>
      </c>
      <c r="H280">
        <v>0</v>
      </c>
      <c r="I280">
        <v>12</v>
      </c>
      <c r="J280">
        <v>0</v>
      </c>
      <c r="K280">
        <v>11</v>
      </c>
      <c r="L280">
        <v>72</v>
      </c>
      <c r="M280">
        <v>1</v>
      </c>
      <c r="N280">
        <v>1</v>
      </c>
      <c r="O280">
        <v>0</v>
      </c>
      <c r="P280">
        <v>10</v>
      </c>
      <c r="Q280">
        <v>10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0</v>
      </c>
      <c r="AX280">
        <v>0</v>
      </c>
      <c r="AY280">
        <v>0</v>
      </c>
    </row>
    <row r="281" spans="1:51" x14ac:dyDescent="0.3">
      <c r="A281" t="s">
        <v>364</v>
      </c>
      <c r="B281" t="s">
        <v>52</v>
      </c>
      <c r="C281" t="s">
        <v>390</v>
      </c>
      <c r="D281" t="s">
        <v>399</v>
      </c>
      <c r="E281" t="s">
        <v>55</v>
      </c>
      <c r="F281">
        <v>26</v>
      </c>
      <c r="G281">
        <v>0</v>
      </c>
      <c r="H281">
        <v>0</v>
      </c>
      <c r="I281">
        <v>26</v>
      </c>
      <c r="J281">
        <v>0</v>
      </c>
      <c r="K281">
        <v>23</v>
      </c>
      <c r="L281">
        <v>150</v>
      </c>
      <c r="M281">
        <v>0</v>
      </c>
      <c r="N281">
        <v>0</v>
      </c>
      <c r="O281">
        <v>0</v>
      </c>
      <c r="P281">
        <v>15</v>
      </c>
      <c r="Q281">
        <v>15</v>
      </c>
      <c r="R281">
        <v>12</v>
      </c>
      <c r="S281">
        <v>7</v>
      </c>
      <c r="T281">
        <v>0</v>
      </c>
      <c r="U281">
        <v>0</v>
      </c>
      <c r="V281">
        <v>0</v>
      </c>
      <c r="W281">
        <v>0</v>
      </c>
      <c r="X281">
        <v>0</v>
      </c>
      <c r="Y281">
        <v>3</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2</v>
      </c>
      <c r="AW281">
        <v>0</v>
      </c>
      <c r="AX281">
        <v>0</v>
      </c>
      <c r="AY281">
        <v>0</v>
      </c>
    </row>
    <row r="282" spans="1:51" x14ac:dyDescent="0.3">
      <c r="A282" t="s">
        <v>364</v>
      </c>
      <c r="B282" t="s">
        <v>52</v>
      </c>
      <c r="C282" t="s">
        <v>380</v>
      </c>
      <c r="D282" t="s">
        <v>400</v>
      </c>
      <c r="E282" t="s">
        <v>55</v>
      </c>
      <c r="F282">
        <v>24</v>
      </c>
      <c r="G282">
        <v>0</v>
      </c>
      <c r="H282">
        <v>0</v>
      </c>
      <c r="I282">
        <v>24</v>
      </c>
      <c r="J282">
        <v>0</v>
      </c>
      <c r="K282">
        <v>24</v>
      </c>
      <c r="L282">
        <v>167</v>
      </c>
      <c r="M282">
        <v>0</v>
      </c>
      <c r="N282">
        <v>2</v>
      </c>
      <c r="O282">
        <v>0</v>
      </c>
      <c r="P282">
        <v>25</v>
      </c>
      <c r="Q282">
        <v>25</v>
      </c>
      <c r="R282">
        <v>25</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2</v>
      </c>
      <c r="AW282">
        <v>0</v>
      </c>
      <c r="AX282">
        <v>0</v>
      </c>
      <c r="AY282">
        <v>0</v>
      </c>
    </row>
    <row r="283" spans="1:51" x14ac:dyDescent="0.3">
      <c r="A283" t="s">
        <v>364</v>
      </c>
      <c r="B283" t="s">
        <v>52</v>
      </c>
      <c r="C283" t="s">
        <v>380</v>
      </c>
      <c r="D283" t="s">
        <v>401</v>
      </c>
      <c r="E283" t="s">
        <v>55</v>
      </c>
      <c r="F283">
        <v>24</v>
      </c>
      <c r="G283">
        <v>0</v>
      </c>
      <c r="H283">
        <v>0</v>
      </c>
      <c r="I283">
        <v>24</v>
      </c>
      <c r="J283">
        <v>0</v>
      </c>
      <c r="K283">
        <v>24</v>
      </c>
      <c r="L283">
        <v>181</v>
      </c>
      <c r="M283">
        <v>0</v>
      </c>
      <c r="N283">
        <v>0</v>
      </c>
      <c r="O283">
        <v>0</v>
      </c>
      <c r="P283">
        <v>22</v>
      </c>
      <c r="Q283">
        <v>22</v>
      </c>
      <c r="R283">
        <v>24</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5</v>
      </c>
      <c r="AW283">
        <v>0</v>
      </c>
      <c r="AX283">
        <v>0</v>
      </c>
      <c r="AY283">
        <v>0</v>
      </c>
    </row>
    <row r="284" spans="1:51" x14ac:dyDescent="0.3">
      <c r="A284" t="s">
        <v>364</v>
      </c>
      <c r="B284" t="s">
        <v>52</v>
      </c>
      <c r="C284" t="s">
        <v>378</v>
      </c>
      <c r="D284" t="s">
        <v>402</v>
      </c>
      <c r="E284" t="s">
        <v>55</v>
      </c>
      <c r="F284">
        <v>63</v>
      </c>
      <c r="G284">
        <v>0</v>
      </c>
      <c r="H284">
        <v>0</v>
      </c>
      <c r="I284">
        <v>63</v>
      </c>
      <c r="J284">
        <v>0</v>
      </c>
      <c r="K284">
        <v>59</v>
      </c>
      <c r="L284">
        <v>215</v>
      </c>
      <c r="M284">
        <v>0</v>
      </c>
      <c r="N284">
        <v>0</v>
      </c>
      <c r="O284">
        <v>0</v>
      </c>
      <c r="P284">
        <v>46</v>
      </c>
      <c r="Q284">
        <v>46</v>
      </c>
      <c r="R284">
        <v>26</v>
      </c>
      <c r="S284">
        <v>4</v>
      </c>
      <c r="T284">
        <v>0</v>
      </c>
      <c r="U284">
        <v>0</v>
      </c>
      <c r="V284">
        <v>0</v>
      </c>
      <c r="W284">
        <v>0</v>
      </c>
      <c r="X284">
        <v>14</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7</v>
      </c>
      <c r="AW284">
        <v>0</v>
      </c>
      <c r="AX284">
        <v>0</v>
      </c>
      <c r="AY284">
        <v>0</v>
      </c>
    </row>
    <row r="285" spans="1:51" x14ac:dyDescent="0.3">
      <c r="A285" t="s">
        <v>364</v>
      </c>
      <c r="B285" t="s">
        <v>52</v>
      </c>
      <c r="C285" t="s">
        <v>365</v>
      </c>
      <c r="D285" t="s">
        <v>403</v>
      </c>
      <c r="E285" t="s">
        <v>55</v>
      </c>
      <c r="F285">
        <v>21</v>
      </c>
      <c r="G285">
        <v>0</v>
      </c>
      <c r="H285">
        <v>0</v>
      </c>
      <c r="I285">
        <v>21</v>
      </c>
      <c r="J285">
        <v>0</v>
      </c>
      <c r="K285">
        <v>21</v>
      </c>
      <c r="L285">
        <v>119</v>
      </c>
      <c r="M285">
        <v>3</v>
      </c>
      <c r="N285">
        <v>4</v>
      </c>
      <c r="O285">
        <v>1</v>
      </c>
      <c r="P285">
        <v>18</v>
      </c>
      <c r="Q285">
        <v>18</v>
      </c>
      <c r="R285">
        <v>15</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row>
    <row r="286" spans="1:51" x14ac:dyDescent="0.3">
      <c r="A286" t="s">
        <v>364</v>
      </c>
      <c r="B286" t="s">
        <v>52</v>
      </c>
      <c r="C286" t="s">
        <v>380</v>
      </c>
      <c r="D286" t="s">
        <v>404</v>
      </c>
      <c r="E286" t="s">
        <v>55</v>
      </c>
      <c r="F286">
        <v>32</v>
      </c>
      <c r="G286">
        <v>0</v>
      </c>
      <c r="H286">
        <v>0</v>
      </c>
      <c r="I286">
        <v>32</v>
      </c>
      <c r="J286">
        <v>0</v>
      </c>
      <c r="K286">
        <v>31</v>
      </c>
      <c r="L286">
        <v>203</v>
      </c>
      <c r="M286">
        <v>0</v>
      </c>
      <c r="N286">
        <v>1</v>
      </c>
      <c r="O286">
        <v>0</v>
      </c>
      <c r="P286">
        <v>27</v>
      </c>
      <c r="Q286">
        <v>27</v>
      </c>
      <c r="R286">
        <v>31</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10</v>
      </c>
      <c r="AW286">
        <v>0</v>
      </c>
      <c r="AX286">
        <v>0</v>
      </c>
      <c r="AY286">
        <v>0</v>
      </c>
    </row>
    <row r="287" spans="1:51" x14ac:dyDescent="0.3">
      <c r="A287" t="s">
        <v>364</v>
      </c>
      <c r="B287" t="s">
        <v>52</v>
      </c>
      <c r="C287" t="s">
        <v>405</v>
      </c>
      <c r="D287" t="s">
        <v>406</v>
      </c>
      <c r="E287" t="s">
        <v>55</v>
      </c>
      <c r="F287">
        <v>10</v>
      </c>
      <c r="G287">
        <v>0</v>
      </c>
      <c r="H287">
        <v>0</v>
      </c>
      <c r="I287">
        <v>10</v>
      </c>
      <c r="J287">
        <v>0</v>
      </c>
      <c r="K287">
        <v>7</v>
      </c>
      <c r="L287">
        <v>64</v>
      </c>
      <c r="M287">
        <v>0</v>
      </c>
      <c r="N287">
        <v>0</v>
      </c>
      <c r="O287">
        <v>0</v>
      </c>
      <c r="P287">
        <v>15</v>
      </c>
      <c r="Q287">
        <v>0</v>
      </c>
      <c r="R287">
        <v>12</v>
      </c>
      <c r="S287">
        <v>8</v>
      </c>
      <c r="T287">
        <v>0</v>
      </c>
      <c r="U287">
        <v>0</v>
      </c>
      <c r="V287">
        <v>0</v>
      </c>
      <c r="W287">
        <v>0</v>
      </c>
      <c r="X287">
        <v>2</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row>
    <row r="288" spans="1:51" x14ac:dyDescent="0.3">
      <c r="A288" t="s">
        <v>364</v>
      </c>
      <c r="B288" t="s">
        <v>52</v>
      </c>
      <c r="C288" t="s">
        <v>405</v>
      </c>
      <c r="D288" t="s">
        <v>407</v>
      </c>
      <c r="E288" t="s">
        <v>55</v>
      </c>
      <c r="F288">
        <v>37</v>
      </c>
      <c r="G288">
        <v>0</v>
      </c>
      <c r="H288">
        <v>0</v>
      </c>
      <c r="I288">
        <v>37</v>
      </c>
      <c r="J288">
        <v>0</v>
      </c>
      <c r="K288">
        <v>32</v>
      </c>
      <c r="L288">
        <v>197</v>
      </c>
      <c r="M288">
        <v>13</v>
      </c>
      <c r="N288">
        <v>10</v>
      </c>
      <c r="O288">
        <v>0</v>
      </c>
      <c r="P288">
        <v>24</v>
      </c>
      <c r="Q288">
        <v>5</v>
      </c>
      <c r="R288">
        <v>20</v>
      </c>
      <c r="S288">
        <v>21</v>
      </c>
      <c r="T288">
        <v>0</v>
      </c>
      <c r="U288">
        <v>0</v>
      </c>
      <c r="V288">
        <v>0</v>
      </c>
      <c r="W288">
        <v>0</v>
      </c>
      <c r="X288">
        <v>6</v>
      </c>
      <c r="Y288">
        <v>0</v>
      </c>
      <c r="Z288">
        <v>0</v>
      </c>
      <c r="AA288">
        <v>0</v>
      </c>
      <c r="AB288">
        <v>1</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2</v>
      </c>
      <c r="AW288">
        <v>0</v>
      </c>
      <c r="AX288">
        <v>0</v>
      </c>
      <c r="AY288">
        <v>0</v>
      </c>
    </row>
    <row r="289" spans="1:51" x14ac:dyDescent="0.3">
      <c r="A289" t="s">
        <v>364</v>
      </c>
      <c r="B289" t="s">
        <v>52</v>
      </c>
      <c r="C289" t="s">
        <v>388</v>
      </c>
      <c r="D289" t="s">
        <v>408</v>
      </c>
      <c r="E289" t="s">
        <v>55</v>
      </c>
      <c r="F289">
        <v>39</v>
      </c>
      <c r="G289">
        <v>0</v>
      </c>
      <c r="H289">
        <v>0</v>
      </c>
      <c r="I289">
        <v>39</v>
      </c>
      <c r="J289">
        <v>0</v>
      </c>
      <c r="K289">
        <v>39</v>
      </c>
      <c r="L289">
        <v>104</v>
      </c>
      <c r="M289">
        <v>0</v>
      </c>
      <c r="N289">
        <v>0</v>
      </c>
      <c r="O289">
        <v>0</v>
      </c>
      <c r="P289">
        <v>44</v>
      </c>
      <c r="Q289">
        <v>44</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39</v>
      </c>
      <c r="AO289">
        <v>0</v>
      </c>
      <c r="AP289">
        <v>0</v>
      </c>
      <c r="AQ289">
        <v>0</v>
      </c>
      <c r="AR289">
        <v>0</v>
      </c>
      <c r="AS289">
        <v>0</v>
      </c>
      <c r="AT289">
        <v>0</v>
      </c>
      <c r="AU289">
        <v>0</v>
      </c>
      <c r="AV289">
        <v>0</v>
      </c>
      <c r="AW289">
        <v>0</v>
      </c>
      <c r="AX289">
        <v>0</v>
      </c>
      <c r="AY289">
        <v>0</v>
      </c>
    </row>
    <row r="290" spans="1:51" x14ac:dyDescent="0.3">
      <c r="A290" t="s">
        <v>364</v>
      </c>
      <c r="B290" t="s">
        <v>52</v>
      </c>
      <c r="C290" t="s">
        <v>376</v>
      </c>
      <c r="D290" t="s">
        <v>409</v>
      </c>
      <c r="E290" t="s">
        <v>55</v>
      </c>
      <c r="F290">
        <v>53</v>
      </c>
      <c r="G290">
        <v>0</v>
      </c>
      <c r="H290">
        <v>0</v>
      </c>
      <c r="I290">
        <v>53</v>
      </c>
      <c r="J290">
        <v>0</v>
      </c>
      <c r="K290">
        <v>50</v>
      </c>
      <c r="L290">
        <v>371</v>
      </c>
      <c r="M290">
        <v>3</v>
      </c>
      <c r="N290">
        <v>1</v>
      </c>
      <c r="O290">
        <v>0</v>
      </c>
      <c r="P290">
        <v>56</v>
      </c>
      <c r="Q290">
        <v>0</v>
      </c>
      <c r="R290">
        <v>42</v>
      </c>
      <c r="S290">
        <v>3</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row>
    <row r="291" spans="1:51" x14ac:dyDescent="0.3">
      <c r="A291" t="s">
        <v>364</v>
      </c>
      <c r="B291" t="s">
        <v>52</v>
      </c>
      <c r="C291" t="s">
        <v>410</v>
      </c>
      <c r="D291" t="s">
        <v>411</v>
      </c>
      <c r="E291" t="s">
        <v>55</v>
      </c>
      <c r="F291">
        <v>37</v>
      </c>
      <c r="G291">
        <v>0</v>
      </c>
      <c r="H291">
        <v>0</v>
      </c>
      <c r="I291">
        <v>36</v>
      </c>
      <c r="J291">
        <v>0</v>
      </c>
      <c r="K291">
        <v>37</v>
      </c>
      <c r="L291">
        <v>191</v>
      </c>
      <c r="M291">
        <v>0</v>
      </c>
      <c r="N291">
        <v>0</v>
      </c>
      <c r="O291">
        <v>0</v>
      </c>
      <c r="P291">
        <v>36</v>
      </c>
      <c r="Q291">
        <v>36</v>
      </c>
      <c r="R291">
        <v>33</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13</v>
      </c>
      <c r="AW291">
        <v>3</v>
      </c>
      <c r="AX291">
        <v>0</v>
      </c>
      <c r="AY291">
        <v>0</v>
      </c>
    </row>
    <row r="292" spans="1:51" x14ac:dyDescent="0.3">
      <c r="A292" t="s">
        <v>364</v>
      </c>
      <c r="B292" t="s">
        <v>52</v>
      </c>
      <c r="C292" t="s">
        <v>367</v>
      </c>
      <c r="D292" t="s">
        <v>412</v>
      </c>
      <c r="E292" t="s">
        <v>55</v>
      </c>
      <c r="F292">
        <v>17</v>
      </c>
      <c r="G292">
        <v>0</v>
      </c>
      <c r="H292">
        <v>0</v>
      </c>
      <c r="I292">
        <v>17</v>
      </c>
      <c r="J292">
        <v>0</v>
      </c>
      <c r="K292">
        <v>17</v>
      </c>
      <c r="L292">
        <v>127</v>
      </c>
      <c r="M292">
        <v>0</v>
      </c>
      <c r="N292">
        <v>1</v>
      </c>
      <c r="O292">
        <v>0</v>
      </c>
      <c r="P292">
        <v>29</v>
      </c>
      <c r="Q292">
        <v>29</v>
      </c>
      <c r="R292">
        <v>18</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1</v>
      </c>
      <c r="AW292">
        <v>0</v>
      </c>
      <c r="AX292">
        <v>0</v>
      </c>
      <c r="AY292">
        <v>0</v>
      </c>
    </row>
    <row r="293" spans="1:51" x14ac:dyDescent="0.3">
      <c r="A293" t="s">
        <v>364</v>
      </c>
      <c r="B293" t="s">
        <v>52</v>
      </c>
      <c r="C293" t="s">
        <v>383</v>
      </c>
      <c r="D293" t="s">
        <v>413</v>
      </c>
      <c r="E293" t="s">
        <v>55</v>
      </c>
      <c r="F293">
        <v>14</v>
      </c>
      <c r="G293">
        <v>0</v>
      </c>
      <c r="H293">
        <v>0</v>
      </c>
      <c r="I293">
        <v>14</v>
      </c>
      <c r="J293">
        <v>0</v>
      </c>
      <c r="K293">
        <v>14</v>
      </c>
      <c r="L293">
        <v>61</v>
      </c>
      <c r="M293">
        <v>1</v>
      </c>
      <c r="N293">
        <v>0</v>
      </c>
      <c r="O293">
        <v>0</v>
      </c>
      <c r="P293">
        <v>13</v>
      </c>
      <c r="Q293">
        <v>13</v>
      </c>
      <c r="R293">
        <v>1</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1</v>
      </c>
      <c r="AW293">
        <v>0</v>
      </c>
      <c r="AX293">
        <v>0</v>
      </c>
      <c r="AY293">
        <v>0</v>
      </c>
    </row>
    <row r="294" spans="1:51" x14ac:dyDescent="0.3">
      <c r="A294" t="s">
        <v>364</v>
      </c>
      <c r="B294" t="s">
        <v>52</v>
      </c>
      <c r="C294" t="s">
        <v>376</v>
      </c>
      <c r="D294" t="s">
        <v>414</v>
      </c>
      <c r="E294" t="s">
        <v>55</v>
      </c>
      <c r="F294">
        <v>49</v>
      </c>
      <c r="G294">
        <v>0</v>
      </c>
      <c r="H294">
        <v>0</v>
      </c>
      <c r="I294">
        <v>49</v>
      </c>
      <c r="J294">
        <v>0</v>
      </c>
      <c r="K294">
        <v>46</v>
      </c>
      <c r="L294">
        <v>297</v>
      </c>
      <c r="M294">
        <v>2</v>
      </c>
      <c r="N294">
        <v>2</v>
      </c>
      <c r="O294">
        <v>1</v>
      </c>
      <c r="P294">
        <v>39</v>
      </c>
      <c r="Q294">
        <v>0</v>
      </c>
      <c r="R294">
        <v>30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row>
    <row r="295" spans="1:51" x14ac:dyDescent="0.3">
      <c r="A295" t="s">
        <v>364</v>
      </c>
      <c r="B295" t="s">
        <v>52</v>
      </c>
      <c r="C295" t="s">
        <v>373</v>
      </c>
      <c r="D295" t="s">
        <v>415</v>
      </c>
      <c r="E295" t="s">
        <v>55</v>
      </c>
      <c r="F295">
        <v>22</v>
      </c>
      <c r="G295">
        <v>0</v>
      </c>
      <c r="H295">
        <v>0</v>
      </c>
      <c r="I295">
        <v>22</v>
      </c>
      <c r="J295">
        <v>0</v>
      </c>
      <c r="K295">
        <v>22</v>
      </c>
      <c r="L295">
        <v>106</v>
      </c>
      <c r="M295">
        <v>5</v>
      </c>
      <c r="N295">
        <v>2</v>
      </c>
      <c r="O295">
        <v>2</v>
      </c>
      <c r="P295">
        <v>14</v>
      </c>
      <c r="Q295">
        <v>13</v>
      </c>
      <c r="R295">
        <v>6</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2</v>
      </c>
      <c r="AW295">
        <v>0</v>
      </c>
      <c r="AX295">
        <v>0</v>
      </c>
      <c r="AY295">
        <v>0</v>
      </c>
    </row>
    <row r="296" spans="1:51" x14ac:dyDescent="0.3">
      <c r="A296" t="s">
        <v>364</v>
      </c>
      <c r="B296" t="s">
        <v>52</v>
      </c>
      <c r="C296" t="s">
        <v>376</v>
      </c>
      <c r="D296" t="s">
        <v>416</v>
      </c>
      <c r="E296" t="s">
        <v>55</v>
      </c>
      <c r="F296">
        <v>20</v>
      </c>
      <c r="G296">
        <v>0</v>
      </c>
      <c r="H296">
        <v>0</v>
      </c>
      <c r="I296">
        <v>20</v>
      </c>
      <c r="J296">
        <v>0</v>
      </c>
      <c r="K296">
        <v>16</v>
      </c>
      <c r="L296">
        <v>169</v>
      </c>
      <c r="M296">
        <v>1</v>
      </c>
      <c r="N296">
        <v>1</v>
      </c>
      <c r="O296">
        <v>0</v>
      </c>
      <c r="P296">
        <v>23</v>
      </c>
      <c r="Q296">
        <v>0</v>
      </c>
      <c r="R296">
        <v>16</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row>
    <row r="297" spans="1:51" x14ac:dyDescent="0.3">
      <c r="A297" t="s">
        <v>364</v>
      </c>
      <c r="B297" t="s">
        <v>52</v>
      </c>
      <c r="C297" t="s">
        <v>385</v>
      </c>
      <c r="D297" t="s">
        <v>417</v>
      </c>
      <c r="E297" t="s">
        <v>55</v>
      </c>
      <c r="F297">
        <v>30</v>
      </c>
      <c r="G297">
        <v>0</v>
      </c>
      <c r="H297">
        <v>0</v>
      </c>
      <c r="I297">
        <v>30</v>
      </c>
      <c r="J297">
        <v>0</v>
      </c>
      <c r="K297">
        <v>30</v>
      </c>
      <c r="L297">
        <v>207</v>
      </c>
      <c r="M297">
        <v>1</v>
      </c>
      <c r="N297">
        <v>2</v>
      </c>
      <c r="O297">
        <v>0</v>
      </c>
      <c r="P297">
        <v>31</v>
      </c>
      <c r="Q297">
        <v>29</v>
      </c>
      <c r="R297">
        <v>28</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row>
    <row r="298" spans="1:51" x14ac:dyDescent="0.3">
      <c r="A298" t="s">
        <v>364</v>
      </c>
      <c r="B298" t="s">
        <v>52</v>
      </c>
      <c r="C298" t="s">
        <v>367</v>
      </c>
      <c r="D298" t="s">
        <v>418</v>
      </c>
      <c r="E298" t="s">
        <v>55</v>
      </c>
      <c r="F298">
        <v>20</v>
      </c>
      <c r="G298">
        <v>0</v>
      </c>
      <c r="H298">
        <v>0</v>
      </c>
      <c r="I298">
        <v>20</v>
      </c>
      <c r="J298">
        <v>0</v>
      </c>
      <c r="K298">
        <v>18</v>
      </c>
      <c r="L298">
        <v>112</v>
      </c>
      <c r="M298">
        <v>0</v>
      </c>
      <c r="N298">
        <v>0</v>
      </c>
      <c r="O298">
        <v>0</v>
      </c>
      <c r="P298">
        <v>8</v>
      </c>
      <c r="Q298">
        <v>8</v>
      </c>
      <c r="R298">
        <v>14</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row>
    <row r="299" spans="1:51" x14ac:dyDescent="0.3">
      <c r="A299" t="s">
        <v>364</v>
      </c>
      <c r="B299" t="s">
        <v>52</v>
      </c>
      <c r="C299" t="s">
        <v>390</v>
      </c>
      <c r="D299" t="s">
        <v>419</v>
      </c>
      <c r="E299" t="s">
        <v>55</v>
      </c>
      <c r="F299">
        <v>20</v>
      </c>
      <c r="G299">
        <v>0</v>
      </c>
      <c r="H299">
        <v>0</v>
      </c>
      <c r="I299">
        <v>20</v>
      </c>
      <c r="J299">
        <v>0</v>
      </c>
      <c r="K299">
        <v>20</v>
      </c>
      <c r="L299">
        <v>90</v>
      </c>
      <c r="M299">
        <v>2</v>
      </c>
      <c r="N299">
        <v>1</v>
      </c>
      <c r="O299">
        <v>0</v>
      </c>
      <c r="P299">
        <v>15</v>
      </c>
      <c r="Q299">
        <v>13</v>
      </c>
      <c r="R299">
        <v>9</v>
      </c>
      <c r="S299">
        <v>7</v>
      </c>
      <c r="T299">
        <v>0</v>
      </c>
      <c r="U299">
        <v>0</v>
      </c>
      <c r="V299">
        <v>0</v>
      </c>
      <c r="W299">
        <v>0</v>
      </c>
      <c r="X299">
        <v>0</v>
      </c>
      <c r="Y299">
        <v>3</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3</v>
      </c>
      <c r="AW299">
        <v>0</v>
      </c>
      <c r="AX299">
        <v>0</v>
      </c>
      <c r="AY299">
        <v>0</v>
      </c>
    </row>
    <row r="300" spans="1:51" x14ac:dyDescent="0.3">
      <c r="A300" t="s">
        <v>364</v>
      </c>
      <c r="B300" t="s">
        <v>52</v>
      </c>
      <c r="C300" t="s">
        <v>410</v>
      </c>
      <c r="D300" t="s">
        <v>420</v>
      </c>
      <c r="E300" t="s">
        <v>55</v>
      </c>
      <c r="F300">
        <v>44</v>
      </c>
      <c r="G300">
        <v>0</v>
      </c>
      <c r="H300">
        <v>0</v>
      </c>
      <c r="I300">
        <v>44</v>
      </c>
      <c r="J300">
        <v>0</v>
      </c>
      <c r="K300">
        <v>44</v>
      </c>
      <c r="L300">
        <v>215</v>
      </c>
      <c r="M300">
        <v>3</v>
      </c>
      <c r="N300">
        <v>5</v>
      </c>
      <c r="O300">
        <v>2</v>
      </c>
      <c r="P300">
        <v>37</v>
      </c>
      <c r="Q300">
        <v>37</v>
      </c>
      <c r="R300">
        <v>33</v>
      </c>
      <c r="S300">
        <v>0</v>
      </c>
      <c r="T300">
        <v>0</v>
      </c>
      <c r="U300">
        <v>0</v>
      </c>
      <c r="V300">
        <v>0</v>
      </c>
      <c r="W300">
        <v>0</v>
      </c>
      <c r="X300">
        <v>5</v>
      </c>
      <c r="Y300">
        <v>0</v>
      </c>
      <c r="Z300">
        <v>0</v>
      </c>
      <c r="AA300">
        <v>0</v>
      </c>
      <c r="AB300">
        <v>1</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20</v>
      </c>
      <c r="AW300">
        <v>3</v>
      </c>
      <c r="AX300">
        <v>0</v>
      </c>
      <c r="AY300">
        <v>0</v>
      </c>
    </row>
    <row r="301" spans="1:51" x14ac:dyDescent="0.3">
      <c r="A301" t="s">
        <v>364</v>
      </c>
      <c r="B301" t="s">
        <v>52</v>
      </c>
      <c r="C301" t="s">
        <v>367</v>
      </c>
      <c r="D301" t="s">
        <v>421</v>
      </c>
      <c r="E301" t="s">
        <v>55</v>
      </c>
      <c r="F301">
        <v>17</v>
      </c>
      <c r="G301">
        <v>0</v>
      </c>
      <c r="H301">
        <v>0</v>
      </c>
      <c r="I301">
        <v>17</v>
      </c>
      <c r="J301">
        <v>0</v>
      </c>
      <c r="K301">
        <v>17</v>
      </c>
      <c r="L301">
        <v>105</v>
      </c>
      <c r="M301">
        <v>0</v>
      </c>
      <c r="N301">
        <v>0</v>
      </c>
      <c r="O301">
        <v>0</v>
      </c>
      <c r="P301">
        <v>18</v>
      </c>
      <c r="Q301">
        <v>18</v>
      </c>
      <c r="R301">
        <v>20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6</v>
      </c>
      <c r="AO301">
        <v>0</v>
      </c>
      <c r="AP301">
        <v>0</v>
      </c>
      <c r="AQ301">
        <v>0</v>
      </c>
      <c r="AR301">
        <v>0</v>
      </c>
      <c r="AS301">
        <v>0</v>
      </c>
      <c r="AT301">
        <v>0</v>
      </c>
      <c r="AU301">
        <v>0</v>
      </c>
      <c r="AV301">
        <v>3</v>
      </c>
      <c r="AW301">
        <v>0</v>
      </c>
      <c r="AX301">
        <v>0</v>
      </c>
      <c r="AY301">
        <v>0</v>
      </c>
    </row>
    <row r="302" spans="1:51" x14ac:dyDescent="0.3">
      <c r="A302" t="s">
        <v>364</v>
      </c>
      <c r="B302" t="s">
        <v>52</v>
      </c>
      <c r="C302" t="s">
        <v>410</v>
      </c>
      <c r="D302" t="s">
        <v>422</v>
      </c>
      <c r="E302" t="s">
        <v>55</v>
      </c>
      <c r="F302">
        <v>19</v>
      </c>
      <c r="G302">
        <v>0</v>
      </c>
      <c r="H302">
        <v>0</v>
      </c>
      <c r="I302">
        <v>18</v>
      </c>
      <c r="J302">
        <v>0</v>
      </c>
      <c r="K302">
        <v>18</v>
      </c>
      <c r="L302">
        <v>130</v>
      </c>
      <c r="M302">
        <v>1</v>
      </c>
      <c r="N302">
        <v>0</v>
      </c>
      <c r="O302">
        <v>0</v>
      </c>
      <c r="P302">
        <v>25</v>
      </c>
      <c r="Q302">
        <v>25</v>
      </c>
      <c r="R302">
        <v>20</v>
      </c>
      <c r="S302">
        <v>0</v>
      </c>
      <c r="T302">
        <v>0</v>
      </c>
      <c r="U302">
        <v>0</v>
      </c>
      <c r="V302">
        <v>0</v>
      </c>
      <c r="W302">
        <v>0</v>
      </c>
      <c r="X302">
        <v>2</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6</v>
      </c>
      <c r="AW302">
        <v>0</v>
      </c>
      <c r="AX302">
        <v>0</v>
      </c>
      <c r="AY302">
        <v>0</v>
      </c>
    </row>
    <row r="303" spans="1:51" x14ac:dyDescent="0.3">
      <c r="A303" t="s">
        <v>364</v>
      </c>
      <c r="B303" t="s">
        <v>52</v>
      </c>
      <c r="C303" t="s">
        <v>385</v>
      </c>
      <c r="D303" t="s">
        <v>423</v>
      </c>
      <c r="E303" t="s">
        <v>55</v>
      </c>
      <c r="F303">
        <v>28</v>
      </c>
      <c r="G303">
        <v>0</v>
      </c>
      <c r="H303">
        <v>0</v>
      </c>
      <c r="I303">
        <v>28</v>
      </c>
      <c r="J303">
        <v>0</v>
      </c>
      <c r="K303">
        <v>28</v>
      </c>
      <c r="L303">
        <v>167</v>
      </c>
      <c r="M303">
        <v>3</v>
      </c>
      <c r="N303">
        <v>2</v>
      </c>
      <c r="O303">
        <v>1</v>
      </c>
      <c r="P303">
        <v>36</v>
      </c>
      <c r="Q303">
        <v>35</v>
      </c>
      <c r="R303">
        <v>27</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row>
    <row r="304" spans="1:51" x14ac:dyDescent="0.3">
      <c r="A304" t="s">
        <v>364</v>
      </c>
      <c r="B304" t="s">
        <v>52</v>
      </c>
      <c r="C304" t="s">
        <v>378</v>
      </c>
      <c r="D304" t="s">
        <v>424</v>
      </c>
      <c r="E304" t="s">
        <v>55</v>
      </c>
      <c r="F304">
        <v>41</v>
      </c>
      <c r="G304">
        <v>1</v>
      </c>
      <c r="H304">
        <v>0</v>
      </c>
      <c r="I304">
        <v>40</v>
      </c>
      <c r="J304">
        <v>0</v>
      </c>
      <c r="K304">
        <v>37</v>
      </c>
      <c r="L304">
        <v>233</v>
      </c>
      <c r="M304">
        <v>5</v>
      </c>
      <c r="N304">
        <v>7</v>
      </c>
      <c r="O304">
        <v>1</v>
      </c>
      <c r="P304">
        <v>52</v>
      </c>
      <c r="Q304">
        <v>47</v>
      </c>
      <c r="R304">
        <v>49</v>
      </c>
      <c r="S304">
        <v>44</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9</v>
      </c>
      <c r="AW304">
        <v>0</v>
      </c>
      <c r="AX304">
        <v>0</v>
      </c>
      <c r="AY304">
        <v>0</v>
      </c>
    </row>
    <row r="305" spans="1:51" x14ac:dyDescent="0.3">
      <c r="A305" t="s">
        <v>364</v>
      </c>
      <c r="B305" t="s">
        <v>52</v>
      </c>
      <c r="C305" t="s">
        <v>410</v>
      </c>
      <c r="D305" t="s">
        <v>425</v>
      </c>
      <c r="E305" t="s">
        <v>55</v>
      </c>
      <c r="F305">
        <v>44</v>
      </c>
      <c r="G305">
        <v>0</v>
      </c>
      <c r="H305">
        <v>0</v>
      </c>
      <c r="I305">
        <v>43</v>
      </c>
      <c r="J305">
        <v>0</v>
      </c>
      <c r="K305">
        <v>43</v>
      </c>
      <c r="L305">
        <v>213</v>
      </c>
      <c r="M305">
        <v>0</v>
      </c>
      <c r="N305">
        <v>0</v>
      </c>
      <c r="O305">
        <v>0</v>
      </c>
      <c r="P305">
        <v>42</v>
      </c>
      <c r="Q305">
        <v>42</v>
      </c>
      <c r="R305">
        <v>37</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11</v>
      </c>
      <c r="AW305">
        <v>1</v>
      </c>
      <c r="AX305">
        <v>0</v>
      </c>
      <c r="AY305">
        <v>0</v>
      </c>
    </row>
    <row r="306" spans="1:51" x14ac:dyDescent="0.3">
      <c r="A306" t="s">
        <v>364</v>
      </c>
      <c r="B306" t="s">
        <v>52</v>
      </c>
      <c r="C306" t="s">
        <v>367</v>
      </c>
      <c r="D306" t="s">
        <v>426</v>
      </c>
      <c r="E306" t="s">
        <v>55</v>
      </c>
      <c r="F306">
        <v>32</v>
      </c>
      <c r="G306">
        <v>0</v>
      </c>
      <c r="H306">
        <v>0</v>
      </c>
      <c r="I306">
        <v>32</v>
      </c>
      <c r="J306">
        <v>0</v>
      </c>
      <c r="K306">
        <v>28</v>
      </c>
      <c r="L306">
        <v>200</v>
      </c>
      <c r="M306">
        <v>0</v>
      </c>
      <c r="N306">
        <v>0</v>
      </c>
      <c r="O306">
        <v>0</v>
      </c>
      <c r="P306">
        <v>14</v>
      </c>
      <c r="Q306">
        <v>14</v>
      </c>
      <c r="R306">
        <v>23</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4</v>
      </c>
      <c r="AO306">
        <v>0</v>
      </c>
      <c r="AP306">
        <v>0</v>
      </c>
      <c r="AQ306">
        <v>0</v>
      </c>
      <c r="AR306">
        <v>0</v>
      </c>
      <c r="AS306">
        <v>0</v>
      </c>
      <c r="AT306">
        <v>0</v>
      </c>
      <c r="AU306">
        <v>0</v>
      </c>
      <c r="AV306">
        <v>8</v>
      </c>
      <c r="AW306">
        <v>0</v>
      </c>
      <c r="AX306">
        <v>0</v>
      </c>
      <c r="AY306">
        <v>0</v>
      </c>
    </row>
    <row r="307" spans="1:51" x14ac:dyDescent="0.3">
      <c r="A307" t="s">
        <v>364</v>
      </c>
      <c r="B307" t="s">
        <v>52</v>
      </c>
      <c r="C307" t="s">
        <v>390</v>
      </c>
      <c r="D307" t="s">
        <v>427</v>
      </c>
      <c r="E307" t="s">
        <v>55</v>
      </c>
      <c r="F307">
        <v>22</v>
      </c>
      <c r="G307">
        <v>0</v>
      </c>
      <c r="H307">
        <v>0</v>
      </c>
      <c r="I307">
        <v>22</v>
      </c>
      <c r="J307">
        <v>0</v>
      </c>
      <c r="K307">
        <v>21</v>
      </c>
      <c r="L307">
        <v>89</v>
      </c>
      <c r="M307">
        <v>1</v>
      </c>
      <c r="N307">
        <v>1</v>
      </c>
      <c r="O307">
        <v>0</v>
      </c>
      <c r="P307">
        <v>98</v>
      </c>
      <c r="Q307">
        <v>14</v>
      </c>
      <c r="R307">
        <v>7</v>
      </c>
      <c r="S307">
        <v>5</v>
      </c>
      <c r="T307">
        <v>0</v>
      </c>
      <c r="U307">
        <v>0</v>
      </c>
      <c r="V307">
        <v>0</v>
      </c>
      <c r="W307">
        <v>0</v>
      </c>
      <c r="X307">
        <v>0</v>
      </c>
      <c r="Y307">
        <v>3</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row>
    <row r="308" spans="1:51" x14ac:dyDescent="0.3">
      <c r="A308" t="s">
        <v>364</v>
      </c>
      <c r="B308" t="s">
        <v>52</v>
      </c>
      <c r="C308" t="s">
        <v>428</v>
      </c>
      <c r="D308" t="s">
        <v>429</v>
      </c>
      <c r="E308" t="s">
        <v>55</v>
      </c>
      <c r="F308">
        <v>15</v>
      </c>
      <c r="G308">
        <v>0</v>
      </c>
      <c r="H308">
        <v>0</v>
      </c>
      <c r="I308">
        <v>15</v>
      </c>
      <c r="J308">
        <v>0</v>
      </c>
      <c r="K308">
        <v>15</v>
      </c>
      <c r="L308">
        <v>129</v>
      </c>
      <c r="M308">
        <v>2</v>
      </c>
      <c r="N308">
        <v>7</v>
      </c>
      <c r="O308">
        <v>2</v>
      </c>
      <c r="P308">
        <v>20</v>
      </c>
      <c r="Q308">
        <v>19</v>
      </c>
      <c r="R308">
        <v>9</v>
      </c>
      <c r="S308">
        <v>11</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6</v>
      </c>
      <c r="AO308">
        <v>0</v>
      </c>
      <c r="AP308">
        <v>0</v>
      </c>
      <c r="AQ308">
        <v>0</v>
      </c>
      <c r="AR308">
        <v>0</v>
      </c>
      <c r="AS308">
        <v>0</v>
      </c>
      <c r="AT308">
        <v>0</v>
      </c>
      <c r="AU308">
        <v>0</v>
      </c>
      <c r="AV308">
        <v>0</v>
      </c>
      <c r="AW308">
        <v>0</v>
      </c>
      <c r="AX308">
        <v>0</v>
      </c>
      <c r="AY308">
        <v>0</v>
      </c>
    </row>
    <row r="309" spans="1:51" x14ac:dyDescent="0.3">
      <c r="A309" t="s">
        <v>364</v>
      </c>
      <c r="B309" t="s">
        <v>52</v>
      </c>
      <c r="C309" t="s">
        <v>365</v>
      </c>
      <c r="D309" t="s">
        <v>430</v>
      </c>
      <c r="E309" t="s">
        <v>55</v>
      </c>
      <c r="F309">
        <v>56</v>
      </c>
      <c r="G309">
        <v>0</v>
      </c>
      <c r="H309">
        <v>0</v>
      </c>
      <c r="I309">
        <v>56</v>
      </c>
      <c r="J309">
        <v>0</v>
      </c>
      <c r="K309">
        <v>49</v>
      </c>
      <c r="L309">
        <v>266</v>
      </c>
      <c r="M309">
        <v>6</v>
      </c>
      <c r="N309">
        <v>5</v>
      </c>
      <c r="O309">
        <v>1</v>
      </c>
      <c r="P309">
        <v>45</v>
      </c>
      <c r="Q309">
        <v>45</v>
      </c>
      <c r="R309">
        <v>29</v>
      </c>
      <c r="S309">
        <v>12</v>
      </c>
      <c r="T309">
        <v>0</v>
      </c>
      <c r="U309">
        <v>0</v>
      </c>
      <c r="V309">
        <v>0</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2</v>
      </c>
      <c r="AW309">
        <v>0</v>
      </c>
      <c r="AX309">
        <v>0</v>
      </c>
      <c r="AY309">
        <v>0</v>
      </c>
    </row>
    <row r="310" spans="1:51" x14ac:dyDescent="0.3">
      <c r="A310" t="s">
        <v>364</v>
      </c>
      <c r="B310" t="s">
        <v>52</v>
      </c>
      <c r="C310" t="s">
        <v>388</v>
      </c>
      <c r="D310" t="s">
        <v>431</v>
      </c>
      <c r="E310" t="s">
        <v>55</v>
      </c>
      <c r="F310">
        <v>32</v>
      </c>
      <c r="G310">
        <v>0</v>
      </c>
      <c r="H310">
        <v>0</v>
      </c>
      <c r="I310">
        <v>32</v>
      </c>
      <c r="J310">
        <v>0</v>
      </c>
      <c r="K310">
        <v>32</v>
      </c>
      <c r="L310">
        <v>75</v>
      </c>
      <c r="M310">
        <v>2</v>
      </c>
      <c r="N310">
        <v>2</v>
      </c>
      <c r="O310">
        <v>0</v>
      </c>
      <c r="P310">
        <v>26</v>
      </c>
      <c r="Q310">
        <v>26</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32</v>
      </c>
      <c r="AO310">
        <v>0</v>
      </c>
      <c r="AP310">
        <v>0</v>
      </c>
      <c r="AQ310">
        <v>0</v>
      </c>
      <c r="AR310">
        <v>0</v>
      </c>
      <c r="AS310">
        <v>0</v>
      </c>
      <c r="AT310">
        <v>0</v>
      </c>
      <c r="AU310">
        <v>0</v>
      </c>
      <c r="AV310">
        <v>0</v>
      </c>
      <c r="AW310">
        <v>0</v>
      </c>
      <c r="AX310">
        <v>0</v>
      </c>
      <c r="AY310">
        <v>0</v>
      </c>
    </row>
    <row r="311" spans="1:51" x14ac:dyDescent="0.3">
      <c r="A311" t="s">
        <v>364</v>
      </c>
      <c r="B311" t="s">
        <v>52</v>
      </c>
      <c r="C311" t="s">
        <v>369</v>
      </c>
      <c r="D311" t="s">
        <v>432</v>
      </c>
      <c r="E311" t="s">
        <v>55</v>
      </c>
      <c r="F311">
        <v>35</v>
      </c>
      <c r="G311">
        <v>0</v>
      </c>
      <c r="H311">
        <v>0</v>
      </c>
      <c r="I311">
        <v>35</v>
      </c>
      <c r="J311">
        <v>0</v>
      </c>
      <c r="K311">
        <v>35</v>
      </c>
      <c r="L311">
        <v>195</v>
      </c>
      <c r="M311">
        <v>9</v>
      </c>
      <c r="N311">
        <v>8</v>
      </c>
      <c r="O311">
        <v>0</v>
      </c>
      <c r="P311">
        <v>25</v>
      </c>
      <c r="Q311">
        <v>25</v>
      </c>
      <c r="R311">
        <v>22</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row>
    <row r="312" spans="1:51" x14ac:dyDescent="0.3">
      <c r="A312" t="s">
        <v>364</v>
      </c>
      <c r="B312" t="s">
        <v>52</v>
      </c>
      <c r="C312" t="s">
        <v>373</v>
      </c>
      <c r="D312" t="s">
        <v>433</v>
      </c>
      <c r="E312" t="s">
        <v>55</v>
      </c>
      <c r="F312">
        <v>33</v>
      </c>
      <c r="G312">
        <v>0</v>
      </c>
      <c r="H312">
        <v>0</v>
      </c>
      <c r="I312">
        <v>33</v>
      </c>
      <c r="J312">
        <v>0</v>
      </c>
      <c r="K312">
        <v>32</v>
      </c>
      <c r="L312">
        <v>142</v>
      </c>
      <c r="M312">
        <v>2</v>
      </c>
      <c r="N312">
        <v>4</v>
      </c>
      <c r="O312">
        <v>2</v>
      </c>
      <c r="P312">
        <v>23</v>
      </c>
      <c r="Q312">
        <v>23</v>
      </c>
      <c r="R312">
        <v>26</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13</v>
      </c>
      <c r="AW312">
        <v>0</v>
      </c>
      <c r="AX312">
        <v>0</v>
      </c>
      <c r="AY312">
        <v>0</v>
      </c>
    </row>
    <row r="313" spans="1:51" x14ac:dyDescent="0.3">
      <c r="A313" t="s">
        <v>364</v>
      </c>
      <c r="B313" t="s">
        <v>52</v>
      </c>
      <c r="C313" t="s">
        <v>365</v>
      </c>
      <c r="D313" t="s">
        <v>434</v>
      </c>
      <c r="E313" t="s">
        <v>55</v>
      </c>
      <c r="F313">
        <v>49</v>
      </c>
      <c r="G313">
        <v>0</v>
      </c>
      <c r="H313">
        <v>0</v>
      </c>
      <c r="I313">
        <v>49</v>
      </c>
      <c r="J313">
        <v>0</v>
      </c>
      <c r="K313">
        <v>49</v>
      </c>
      <c r="L313">
        <v>265</v>
      </c>
      <c r="M313">
        <v>11</v>
      </c>
      <c r="N313">
        <v>8</v>
      </c>
      <c r="O313">
        <v>1</v>
      </c>
      <c r="P313">
        <v>45</v>
      </c>
      <c r="Q313">
        <v>45</v>
      </c>
      <c r="R313">
        <v>34</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row>
    <row r="314" spans="1:51" x14ac:dyDescent="0.3">
      <c r="A314" t="s">
        <v>364</v>
      </c>
      <c r="B314" t="s">
        <v>72</v>
      </c>
      <c r="C314" t="s">
        <v>380</v>
      </c>
      <c r="D314" t="s">
        <v>435</v>
      </c>
      <c r="E314" t="s">
        <v>55</v>
      </c>
      <c r="F314">
        <v>0</v>
      </c>
      <c r="G314">
        <v>0</v>
      </c>
      <c r="H314">
        <v>0</v>
      </c>
      <c r="I314">
        <v>0</v>
      </c>
      <c r="J314">
        <v>0</v>
      </c>
      <c r="K314">
        <v>0</v>
      </c>
      <c r="L314">
        <v>593</v>
      </c>
      <c r="M314">
        <v>81</v>
      </c>
      <c r="N314">
        <v>63</v>
      </c>
      <c r="O314">
        <v>8</v>
      </c>
      <c r="P314">
        <v>0</v>
      </c>
      <c r="Q314">
        <v>0</v>
      </c>
      <c r="R314">
        <v>121</v>
      </c>
      <c r="S314">
        <v>103</v>
      </c>
      <c r="T314">
        <v>0</v>
      </c>
      <c r="U314">
        <v>0</v>
      </c>
      <c r="V314">
        <v>0</v>
      </c>
      <c r="W314">
        <v>0</v>
      </c>
      <c r="X314">
        <v>88</v>
      </c>
      <c r="Y314">
        <v>41</v>
      </c>
      <c r="Z314">
        <v>0</v>
      </c>
      <c r="AA314">
        <v>0</v>
      </c>
      <c r="AB314">
        <v>20</v>
      </c>
      <c r="AC314">
        <v>1</v>
      </c>
      <c r="AD314">
        <v>0</v>
      </c>
      <c r="AE314">
        <v>1</v>
      </c>
      <c r="AF314">
        <v>52</v>
      </c>
      <c r="AG314">
        <v>0</v>
      </c>
      <c r="AH314">
        <v>0</v>
      </c>
      <c r="AI314">
        <v>0</v>
      </c>
      <c r="AJ314">
        <v>0</v>
      </c>
      <c r="AK314">
        <v>0</v>
      </c>
      <c r="AL314">
        <v>0</v>
      </c>
      <c r="AM314">
        <v>0</v>
      </c>
      <c r="AN314">
        <v>60</v>
      </c>
      <c r="AO314">
        <v>4</v>
      </c>
      <c r="AP314">
        <v>0</v>
      </c>
      <c r="AQ314">
        <v>0</v>
      </c>
      <c r="AR314">
        <v>0</v>
      </c>
      <c r="AS314">
        <v>0</v>
      </c>
      <c r="AT314">
        <v>0</v>
      </c>
      <c r="AU314">
        <v>0</v>
      </c>
      <c r="AV314">
        <v>66</v>
      </c>
      <c r="AW314">
        <v>3</v>
      </c>
      <c r="AX314">
        <v>0</v>
      </c>
      <c r="AY314">
        <v>0</v>
      </c>
    </row>
    <row r="315" spans="1:51" x14ac:dyDescent="0.3">
      <c r="A315" t="s">
        <v>364</v>
      </c>
      <c r="B315" t="s">
        <v>72</v>
      </c>
      <c r="C315" t="s">
        <v>410</v>
      </c>
      <c r="D315" t="s">
        <v>436</v>
      </c>
      <c r="E315" t="s">
        <v>55</v>
      </c>
      <c r="F315">
        <v>0</v>
      </c>
      <c r="G315">
        <v>0</v>
      </c>
      <c r="H315">
        <v>0</v>
      </c>
      <c r="I315">
        <v>0</v>
      </c>
      <c r="J315">
        <v>0</v>
      </c>
      <c r="K315">
        <v>0</v>
      </c>
      <c r="L315">
        <v>626</v>
      </c>
      <c r="M315">
        <v>64</v>
      </c>
      <c r="N315">
        <v>49</v>
      </c>
      <c r="O315">
        <v>23</v>
      </c>
      <c r="P315">
        <v>0</v>
      </c>
      <c r="Q315">
        <v>0</v>
      </c>
      <c r="R315">
        <v>0</v>
      </c>
      <c r="S315">
        <v>115</v>
      </c>
      <c r="T315">
        <v>0</v>
      </c>
      <c r="U315">
        <v>0</v>
      </c>
      <c r="V315">
        <v>0</v>
      </c>
      <c r="W315">
        <v>0</v>
      </c>
      <c r="X315">
        <v>115</v>
      </c>
      <c r="Y315">
        <v>21</v>
      </c>
      <c r="Z315">
        <v>1</v>
      </c>
      <c r="AA315">
        <v>1</v>
      </c>
      <c r="AB315">
        <v>21</v>
      </c>
      <c r="AC315">
        <v>0</v>
      </c>
      <c r="AD315">
        <v>0</v>
      </c>
      <c r="AE315">
        <v>0</v>
      </c>
      <c r="AF315">
        <v>93</v>
      </c>
      <c r="AG315">
        <v>0</v>
      </c>
      <c r="AH315">
        <v>0</v>
      </c>
      <c r="AI315">
        <v>0</v>
      </c>
      <c r="AJ315">
        <v>0</v>
      </c>
      <c r="AK315">
        <v>0</v>
      </c>
      <c r="AL315">
        <v>0</v>
      </c>
      <c r="AM315">
        <v>0</v>
      </c>
      <c r="AN315">
        <v>0</v>
      </c>
      <c r="AO315">
        <v>0</v>
      </c>
      <c r="AP315">
        <v>0</v>
      </c>
      <c r="AQ315">
        <v>0</v>
      </c>
      <c r="AR315">
        <v>0</v>
      </c>
      <c r="AS315">
        <v>0</v>
      </c>
      <c r="AT315">
        <v>0</v>
      </c>
      <c r="AU315">
        <v>0</v>
      </c>
      <c r="AV315">
        <v>7</v>
      </c>
      <c r="AW315">
        <v>8</v>
      </c>
      <c r="AX315">
        <v>0</v>
      </c>
      <c r="AY315">
        <v>0</v>
      </c>
    </row>
    <row r="316" spans="1:51" x14ac:dyDescent="0.3">
      <c r="A316" t="s">
        <v>364</v>
      </c>
      <c r="B316" t="s">
        <v>72</v>
      </c>
      <c r="C316" t="s">
        <v>388</v>
      </c>
      <c r="D316" t="s">
        <v>437</v>
      </c>
      <c r="E316" t="s">
        <v>55</v>
      </c>
      <c r="F316">
        <v>0</v>
      </c>
      <c r="G316">
        <v>0</v>
      </c>
      <c r="H316">
        <v>0</v>
      </c>
      <c r="I316">
        <v>0</v>
      </c>
      <c r="J316">
        <v>0</v>
      </c>
      <c r="K316">
        <v>0</v>
      </c>
      <c r="L316">
        <v>131</v>
      </c>
      <c r="M316">
        <v>31</v>
      </c>
      <c r="N316">
        <v>32</v>
      </c>
      <c r="O316">
        <v>2</v>
      </c>
      <c r="P316">
        <v>2</v>
      </c>
      <c r="Q316">
        <v>2</v>
      </c>
      <c r="R316">
        <v>80</v>
      </c>
      <c r="S316">
        <v>63</v>
      </c>
      <c r="T316">
        <v>1</v>
      </c>
      <c r="U316">
        <v>0</v>
      </c>
      <c r="V316">
        <v>0</v>
      </c>
      <c r="W316">
        <v>0</v>
      </c>
      <c r="X316">
        <v>6</v>
      </c>
      <c r="Y316">
        <v>31</v>
      </c>
      <c r="Z316">
        <v>0</v>
      </c>
      <c r="AA316">
        <v>0</v>
      </c>
      <c r="AB316">
        <v>1</v>
      </c>
      <c r="AC316">
        <v>0</v>
      </c>
      <c r="AD316">
        <v>0</v>
      </c>
      <c r="AE316">
        <v>0</v>
      </c>
      <c r="AF316">
        <v>76</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row>
    <row r="317" spans="1:51" x14ac:dyDescent="0.3">
      <c r="A317" t="s">
        <v>364</v>
      </c>
      <c r="B317" t="s">
        <v>72</v>
      </c>
      <c r="C317" t="s">
        <v>367</v>
      </c>
      <c r="D317" t="s">
        <v>438</v>
      </c>
      <c r="E317" t="s">
        <v>55</v>
      </c>
      <c r="F317">
        <v>0</v>
      </c>
      <c r="G317">
        <v>0</v>
      </c>
      <c r="H317">
        <v>0</v>
      </c>
      <c r="I317">
        <v>0</v>
      </c>
      <c r="J317">
        <v>0</v>
      </c>
      <c r="K317">
        <v>0</v>
      </c>
      <c r="L317">
        <v>116</v>
      </c>
      <c r="M317">
        <v>36</v>
      </c>
      <c r="N317">
        <v>34</v>
      </c>
      <c r="O317">
        <v>4</v>
      </c>
      <c r="P317">
        <v>0</v>
      </c>
      <c r="Q317">
        <v>0</v>
      </c>
      <c r="R317">
        <v>21</v>
      </c>
      <c r="S317">
        <v>73</v>
      </c>
      <c r="T317">
        <v>0</v>
      </c>
      <c r="U317">
        <v>0</v>
      </c>
      <c r="V317">
        <v>0</v>
      </c>
      <c r="W317">
        <v>0</v>
      </c>
      <c r="X317">
        <v>186</v>
      </c>
      <c r="Y317">
        <v>57</v>
      </c>
      <c r="Z317">
        <v>0</v>
      </c>
      <c r="AA317">
        <v>0</v>
      </c>
      <c r="AB317">
        <v>0</v>
      </c>
      <c r="AC317">
        <v>0</v>
      </c>
      <c r="AD317">
        <v>0</v>
      </c>
      <c r="AE317">
        <v>0</v>
      </c>
      <c r="AF317">
        <v>56</v>
      </c>
      <c r="AG317">
        <v>1</v>
      </c>
      <c r="AH317">
        <v>0</v>
      </c>
      <c r="AI317">
        <v>0</v>
      </c>
      <c r="AJ317">
        <v>0</v>
      </c>
      <c r="AK317">
        <v>0</v>
      </c>
      <c r="AL317">
        <v>0</v>
      </c>
      <c r="AM317">
        <v>0</v>
      </c>
      <c r="AN317">
        <v>0</v>
      </c>
      <c r="AO317">
        <v>0</v>
      </c>
      <c r="AP317">
        <v>0</v>
      </c>
      <c r="AQ317">
        <v>0</v>
      </c>
      <c r="AR317">
        <v>0</v>
      </c>
      <c r="AS317">
        <v>0</v>
      </c>
      <c r="AT317">
        <v>0</v>
      </c>
      <c r="AU317">
        <v>0</v>
      </c>
      <c r="AV317">
        <v>0</v>
      </c>
      <c r="AW317">
        <v>0</v>
      </c>
      <c r="AX317">
        <v>0</v>
      </c>
      <c r="AY317">
        <v>0</v>
      </c>
    </row>
    <row r="318" spans="1:51" x14ac:dyDescent="0.3">
      <c r="A318" t="s">
        <v>364</v>
      </c>
      <c r="B318" t="s">
        <v>74</v>
      </c>
      <c r="C318" t="s">
        <v>373</v>
      </c>
      <c r="D318" t="s">
        <v>439</v>
      </c>
      <c r="E318" t="s">
        <v>55</v>
      </c>
      <c r="F318">
        <v>0</v>
      </c>
      <c r="G318">
        <v>0</v>
      </c>
      <c r="H318">
        <v>0</v>
      </c>
      <c r="I318">
        <v>0</v>
      </c>
      <c r="J318">
        <v>0</v>
      </c>
      <c r="K318">
        <v>0</v>
      </c>
      <c r="L318">
        <v>203</v>
      </c>
      <c r="M318">
        <v>109</v>
      </c>
      <c r="N318">
        <v>87</v>
      </c>
      <c r="O318">
        <v>7</v>
      </c>
      <c r="P318">
        <v>0</v>
      </c>
      <c r="Q318">
        <v>0</v>
      </c>
      <c r="R318">
        <v>42</v>
      </c>
      <c r="S318">
        <v>205</v>
      </c>
      <c r="T318">
        <v>4</v>
      </c>
      <c r="U318">
        <v>2</v>
      </c>
      <c r="V318">
        <v>0</v>
      </c>
      <c r="W318">
        <v>0</v>
      </c>
      <c r="X318">
        <v>98</v>
      </c>
      <c r="Y318">
        <v>173</v>
      </c>
      <c r="Z318">
        <v>2</v>
      </c>
      <c r="AA318">
        <v>2</v>
      </c>
      <c r="AB318">
        <v>0</v>
      </c>
      <c r="AC318">
        <v>0</v>
      </c>
      <c r="AD318">
        <v>0</v>
      </c>
      <c r="AE318">
        <v>0</v>
      </c>
      <c r="AF318">
        <v>215</v>
      </c>
      <c r="AG318">
        <v>0</v>
      </c>
      <c r="AH318">
        <v>0</v>
      </c>
      <c r="AI318">
        <v>0</v>
      </c>
      <c r="AJ318">
        <v>0</v>
      </c>
      <c r="AK318">
        <v>0</v>
      </c>
      <c r="AL318">
        <v>0</v>
      </c>
      <c r="AM318">
        <v>0</v>
      </c>
      <c r="AN318">
        <v>2</v>
      </c>
      <c r="AO318">
        <v>1</v>
      </c>
      <c r="AP318">
        <v>0</v>
      </c>
      <c r="AQ318">
        <v>0</v>
      </c>
      <c r="AR318">
        <v>0</v>
      </c>
      <c r="AS318">
        <v>0</v>
      </c>
      <c r="AT318">
        <v>0</v>
      </c>
      <c r="AU318">
        <v>0</v>
      </c>
      <c r="AV318">
        <v>0</v>
      </c>
      <c r="AW318">
        <v>23</v>
      </c>
      <c r="AX318">
        <v>0</v>
      </c>
      <c r="AY318">
        <v>0</v>
      </c>
    </row>
    <row r="319" spans="1:51" x14ac:dyDescent="0.3">
      <c r="A319" t="s">
        <v>364</v>
      </c>
      <c r="B319" t="s">
        <v>74</v>
      </c>
      <c r="C319" t="s">
        <v>376</v>
      </c>
      <c r="D319" t="s">
        <v>440</v>
      </c>
      <c r="E319" t="s">
        <v>55</v>
      </c>
      <c r="F319">
        <v>0</v>
      </c>
      <c r="G319">
        <v>0</v>
      </c>
      <c r="H319">
        <v>0</v>
      </c>
      <c r="I319">
        <v>0</v>
      </c>
      <c r="J319">
        <v>0</v>
      </c>
      <c r="K319">
        <v>0</v>
      </c>
      <c r="L319">
        <v>181</v>
      </c>
      <c r="M319">
        <v>86</v>
      </c>
      <c r="N319">
        <v>88</v>
      </c>
      <c r="O319">
        <v>7</v>
      </c>
      <c r="P319">
        <v>0</v>
      </c>
      <c r="Q319">
        <v>0</v>
      </c>
      <c r="R319">
        <v>0</v>
      </c>
      <c r="S319">
        <v>253</v>
      </c>
      <c r="T319">
        <v>3</v>
      </c>
      <c r="U319">
        <v>5</v>
      </c>
      <c r="V319">
        <v>7</v>
      </c>
      <c r="W319">
        <v>0</v>
      </c>
      <c r="X319">
        <v>393</v>
      </c>
      <c r="Y319">
        <v>136</v>
      </c>
      <c r="Z319">
        <v>1</v>
      </c>
      <c r="AA319">
        <v>1</v>
      </c>
      <c r="AB319">
        <v>0</v>
      </c>
      <c r="AC319">
        <v>0</v>
      </c>
      <c r="AD319">
        <v>0</v>
      </c>
      <c r="AE319">
        <v>0</v>
      </c>
      <c r="AF319">
        <v>63</v>
      </c>
      <c r="AG319">
        <v>0</v>
      </c>
      <c r="AH319">
        <v>0</v>
      </c>
      <c r="AI319">
        <v>0</v>
      </c>
      <c r="AJ319">
        <v>0</v>
      </c>
      <c r="AK319">
        <v>0</v>
      </c>
      <c r="AL319">
        <v>0</v>
      </c>
      <c r="AM319">
        <v>0</v>
      </c>
      <c r="AN319">
        <v>0</v>
      </c>
      <c r="AO319">
        <v>0</v>
      </c>
      <c r="AP319">
        <v>0</v>
      </c>
      <c r="AQ319">
        <v>1</v>
      </c>
      <c r="AR319">
        <v>0</v>
      </c>
      <c r="AS319">
        <v>0</v>
      </c>
      <c r="AT319">
        <v>0</v>
      </c>
      <c r="AU319">
        <v>1</v>
      </c>
      <c r="AV319">
        <v>142</v>
      </c>
      <c r="AW319">
        <v>29</v>
      </c>
      <c r="AX319">
        <v>0</v>
      </c>
      <c r="AY319">
        <v>0</v>
      </c>
    </row>
    <row r="320" spans="1:51" x14ac:dyDescent="0.3">
      <c r="A320" t="s">
        <v>364</v>
      </c>
      <c r="B320" t="s">
        <v>52</v>
      </c>
      <c r="C320" t="s">
        <v>441</v>
      </c>
      <c r="D320" t="s">
        <v>442</v>
      </c>
      <c r="E320" t="s">
        <v>55</v>
      </c>
      <c r="F320">
        <v>33</v>
      </c>
      <c r="G320">
        <v>0</v>
      </c>
      <c r="H320">
        <v>0</v>
      </c>
      <c r="I320">
        <v>33</v>
      </c>
      <c r="J320">
        <v>0</v>
      </c>
      <c r="K320">
        <v>30</v>
      </c>
      <c r="L320">
        <v>182</v>
      </c>
      <c r="M320">
        <v>5</v>
      </c>
      <c r="N320">
        <v>5</v>
      </c>
      <c r="O320">
        <v>2</v>
      </c>
      <c r="P320">
        <v>38</v>
      </c>
      <c r="Q320">
        <v>39</v>
      </c>
      <c r="R320">
        <v>38</v>
      </c>
      <c r="S320">
        <v>37</v>
      </c>
      <c r="T320">
        <v>0</v>
      </c>
      <c r="U320">
        <v>0</v>
      </c>
      <c r="V320">
        <v>0</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row>
    <row r="321" spans="1:51" x14ac:dyDescent="0.3">
      <c r="A321" t="s">
        <v>364</v>
      </c>
      <c r="B321" t="s">
        <v>52</v>
      </c>
      <c r="C321" t="s">
        <v>443</v>
      </c>
      <c r="D321" t="s">
        <v>444</v>
      </c>
      <c r="E321" t="s">
        <v>55</v>
      </c>
      <c r="F321">
        <v>6</v>
      </c>
      <c r="G321">
        <v>0</v>
      </c>
      <c r="H321">
        <v>0</v>
      </c>
      <c r="I321">
        <v>6</v>
      </c>
      <c r="J321">
        <v>0</v>
      </c>
      <c r="K321">
        <v>3</v>
      </c>
      <c r="L321">
        <v>28</v>
      </c>
      <c r="M321">
        <v>3</v>
      </c>
      <c r="N321">
        <v>3</v>
      </c>
      <c r="O321">
        <v>1</v>
      </c>
      <c r="P321">
        <v>6</v>
      </c>
      <c r="Q321">
        <v>6</v>
      </c>
      <c r="R321">
        <v>4</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row>
    <row r="322" spans="1:51" x14ac:dyDescent="0.3">
      <c r="A322" t="s">
        <v>364</v>
      </c>
      <c r="B322" t="s">
        <v>52</v>
      </c>
      <c r="C322" t="s">
        <v>445</v>
      </c>
      <c r="D322" t="s">
        <v>446</v>
      </c>
      <c r="E322" t="s">
        <v>55</v>
      </c>
      <c r="F322">
        <v>86</v>
      </c>
      <c r="G322">
        <v>0</v>
      </c>
      <c r="H322">
        <v>0</v>
      </c>
      <c r="I322">
        <v>86</v>
      </c>
      <c r="J322">
        <v>0</v>
      </c>
      <c r="K322">
        <v>86</v>
      </c>
      <c r="L322">
        <v>280</v>
      </c>
      <c r="M322">
        <v>4</v>
      </c>
      <c r="N322">
        <v>8</v>
      </c>
      <c r="O322">
        <v>2</v>
      </c>
      <c r="P322">
        <v>73</v>
      </c>
      <c r="Q322">
        <v>73</v>
      </c>
      <c r="R322">
        <v>75</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row>
    <row r="323" spans="1:51" x14ac:dyDescent="0.3">
      <c r="A323" t="s">
        <v>364</v>
      </c>
      <c r="B323" t="s">
        <v>52</v>
      </c>
      <c r="C323" t="s">
        <v>441</v>
      </c>
      <c r="D323" t="s">
        <v>447</v>
      </c>
      <c r="E323" t="s">
        <v>55</v>
      </c>
      <c r="F323">
        <v>65</v>
      </c>
      <c r="G323">
        <v>0</v>
      </c>
      <c r="H323">
        <v>0</v>
      </c>
      <c r="I323">
        <v>65</v>
      </c>
      <c r="J323">
        <v>0</v>
      </c>
      <c r="K323">
        <v>54</v>
      </c>
      <c r="L323">
        <v>388</v>
      </c>
      <c r="M323">
        <v>4</v>
      </c>
      <c r="N323">
        <v>8</v>
      </c>
      <c r="O323">
        <v>0</v>
      </c>
      <c r="P323">
        <v>72</v>
      </c>
      <c r="Q323">
        <v>66</v>
      </c>
      <c r="R323">
        <v>46</v>
      </c>
      <c r="S323">
        <v>69</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row>
    <row r="324" spans="1:51" x14ac:dyDescent="0.3">
      <c r="A324" t="s">
        <v>364</v>
      </c>
      <c r="B324" t="s">
        <v>52</v>
      </c>
      <c r="C324" t="s">
        <v>448</v>
      </c>
      <c r="D324" t="s">
        <v>449</v>
      </c>
      <c r="E324" t="s">
        <v>55</v>
      </c>
      <c r="F324">
        <v>54</v>
      </c>
      <c r="G324">
        <v>0</v>
      </c>
      <c r="H324">
        <v>0</v>
      </c>
      <c r="I324">
        <v>54</v>
      </c>
      <c r="J324">
        <v>0</v>
      </c>
      <c r="K324">
        <v>54</v>
      </c>
      <c r="L324">
        <v>221</v>
      </c>
      <c r="M324">
        <v>21</v>
      </c>
      <c r="N324">
        <v>20</v>
      </c>
      <c r="O324">
        <v>0</v>
      </c>
      <c r="P324">
        <v>41</v>
      </c>
      <c r="Q324">
        <v>41</v>
      </c>
      <c r="R324">
        <v>29</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1</v>
      </c>
      <c r="AW324">
        <v>0</v>
      </c>
      <c r="AX324">
        <v>0</v>
      </c>
      <c r="AY324">
        <v>0</v>
      </c>
    </row>
    <row r="325" spans="1:51" x14ac:dyDescent="0.3">
      <c r="A325" t="s">
        <v>364</v>
      </c>
      <c r="B325" t="s">
        <v>52</v>
      </c>
      <c r="C325" t="s">
        <v>445</v>
      </c>
      <c r="D325" t="s">
        <v>450</v>
      </c>
      <c r="E325" t="s">
        <v>55</v>
      </c>
      <c r="F325">
        <v>52</v>
      </c>
      <c r="G325">
        <v>0</v>
      </c>
      <c r="H325">
        <v>0</v>
      </c>
      <c r="I325">
        <v>52</v>
      </c>
      <c r="J325">
        <v>0</v>
      </c>
      <c r="K325">
        <v>52</v>
      </c>
      <c r="L325">
        <v>140</v>
      </c>
      <c r="M325">
        <v>8</v>
      </c>
      <c r="N325">
        <v>5</v>
      </c>
      <c r="O325">
        <v>2</v>
      </c>
      <c r="P325">
        <v>48</v>
      </c>
      <c r="Q325">
        <v>48</v>
      </c>
      <c r="R325">
        <v>42</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2</v>
      </c>
      <c r="AO325">
        <v>0</v>
      </c>
      <c r="AP325">
        <v>0</v>
      </c>
      <c r="AQ325">
        <v>0</v>
      </c>
      <c r="AR325">
        <v>0</v>
      </c>
      <c r="AS325">
        <v>0</v>
      </c>
      <c r="AT325">
        <v>0</v>
      </c>
      <c r="AU325">
        <v>0</v>
      </c>
      <c r="AV325">
        <v>0</v>
      </c>
      <c r="AW325">
        <v>0</v>
      </c>
      <c r="AX325">
        <v>0</v>
      </c>
      <c r="AY325">
        <v>0</v>
      </c>
    </row>
    <row r="326" spans="1:51" x14ac:dyDescent="0.3">
      <c r="A326" t="s">
        <v>364</v>
      </c>
      <c r="B326" t="s">
        <v>52</v>
      </c>
      <c r="C326" t="s">
        <v>445</v>
      </c>
      <c r="D326" t="s">
        <v>451</v>
      </c>
      <c r="E326" t="s">
        <v>55</v>
      </c>
      <c r="F326">
        <v>44</v>
      </c>
      <c r="G326">
        <v>0</v>
      </c>
      <c r="H326">
        <v>0</v>
      </c>
      <c r="I326">
        <v>44</v>
      </c>
      <c r="J326">
        <v>0</v>
      </c>
      <c r="K326">
        <v>41</v>
      </c>
      <c r="L326">
        <v>153</v>
      </c>
      <c r="M326">
        <v>3</v>
      </c>
      <c r="N326">
        <v>2</v>
      </c>
      <c r="O326">
        <v>0</v>
      </c>
      <c r="P326">
        <v>47</v>
      </c>
      <c r="Q326">
        <v>39</v>
      </c>
      <c r="R326">
        <v>34</v>
      </c>
      <c r="S326">
        <v>22</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4</v>
      </c>
      <c r="AW326">
        <v>0</v>
      </c>
      <c r="AX326">
        <v>0</v>
      </c>
      <c r="AY326">
        <v>0</v>
      </c>
    </row>
    <row r="327" spans="1:51" x14ac:dyDescent="0.3">
      <c r="A327" t="s">
        <v>364</v>
      </c>
      <c r="B327" t="s">
        <v>52</v>
      </c>
      <c r="C327" t="s">
        <v>443</v>
      </c>
      <c r="D327" t="s">
        <v>452</v>
      </c>
      <c r="E327" t="s">
        <v>55</v>
      </c>
      <c r="F327">
        <v>23</v>
      </c>
      <c r="G327">
        <v>1</v>
      </c>
      <c r="H327">
        <v>0</v>
      </c>
      <c r="I327">
        <v>18</v>
      </c>
      <c r="J327">
        <v>4</v>
      </c>
      <c r="K327">
        <v>9</v>
      </c>
      <c r="L327">
        <v>70</v>
      </c>
      <c r="M327">
        <v>0</v>
      </c>
      <c r="N327">
        <v>4</v>
      </c>
      <c r="O327">
        <v>0</v>
      </c>
      <c r="P327">
        <v>12</v>
      </c>
      <c r="Q327">
        <v>4</v>
      </c>
      <c r="R327">
        <v>7</v>
      </c>
      <c r="S327">
        <v>16</v>
      </c>
      <c r="T327">
        <v>0</v>
      </c>
      <c r="U327">
        <v>0</v>
      </c>
      <c r="V327">
        <v>0</v>
      </c>
      <c r="W327">
        <v>0</v>
      </c>
      <c r="X327">
        <v>0</v>
      </c>
      <c r="Y327">
        <v>0</v>
      </c>
      <c r="Z327">
        <v>0</v>
      </c>
      <c r="AA327">
        <v>0</v>
      </c>
      <c r="AB327">
        <v>0</v>
      </c>
      <c r="AC327">
        <v>0</v>
      </c>
      <c r="AD327">
        <v>0</v>
      </c>
      <c r="AE327">
        <v>0</v>
      </c>
      <c r="AF327">
        <v>0</v>
      </c>
      <c r="AG327">
        <v>0</v>
      </c>
      <c r="AH327">
        <v>0</v>
      </c>
      <c r="AI327">
        <v>0</v>
      </c>
      <c r="AJ327">
        <v>0</v>
      </c>
      <c r="AK327">
        <v>0</v>
      </c>
      <c r="AL327">
        <v>0</v>
      </c>
      <c r="AM327">
        <v>0</v>
      </c>
      <c r="AN327">
        <v>0</v>
      </c>
      <c r="AO327">
        <v>0</v>
      </c>
      <c r="AP327">
        <v>0</v>
      </c>
      <c r="AQ327">
        <v>0</v>
      </c>
      <c r="AR327">
        <v>0</v>
      </c>
      <c r="AS327">
        <v>0</v>
      </c>
      <c r="AT327">
        <v>0</v>
      </c>
      <c r="AU327">
        <v>0</v>
      </c>
      <c r="AV327">
        <v>1</v>
      </c>
      <c r="AW327">
        <v>0</v>
      </c>
      <c r="AX327">
        <v>0</v>
      </c>
      <c r="AY327">
        <v>0</v>
      </c>
    </row>
    <row r="328" spans="1:51" x14ac:dyDescent="0.3">
      <c r="A328" t="s">
        <v>364</v>
      </c>
      <c r="B328" t="s">
        <v>52</v>
      </c>
      <c r="C328" t="s">
        <v>453</v>
      </c>
      <c r="D328" t="s">
        <v>454</v>
      </c>
      <c r="E328" t="s">
        <v>55</v>
      </c>
      <c r="F328">
        <v>21</v>
      </c>
      <c r="G328">
        <v>0</v>
      </c>
      <c r="H328">
        <v>0</v>
      </c>
      <c r="I328">
        <v>21</v>
      </c>
      <c r="J328">
        <v>0</v>
      </c>
      <c r="K328">
        <v>21</v>
      </c>
      <c r="L328">
        <v>59</v>
      </c>
      <c r="M328">
        <v>4</v>
      </c>
      <c r="N328">
        <v>2</v>
      </c>
      <c r="O328">
        <v>0</v>
      </c>
      <c r="P328">
        <v>17</v>
      </c>
      <c r="Q328">
        <v>17</v>
      </c>
      <c r="R328">
        <v>18</v>
      </c>
      <c r="S328">
        <v>0</v>
      </c>
      <c r="T328">
        <v>0</v>
      </c>
      <c r="U328">
        <v>0</v>
      </c>
      <c r="V328">
        <v>0</v>
      </c>
      <c r="W328">
        <v>0</v>
      </c>
      <c r="X328">
        <v>2</v>
      </c>
      <c r="Y328">
        <v>1</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row>
    <row r="329" spans="1:51" x14ac:dyDescent="0.3">
      <c r="A329" t="s">
        <v>364</v>
      </c>
      <c r="B329" t="s">
        <v>52</v>
      </c>
      <c r="C329" t="s">
        <v>448</v>
      </c>
      <c r="D329" t="s">
        <v>455</v>
      </c>
      <c r="E329" t="s">
        <v>55</v>
      </c>
      <c r="F329">
        <v>35</v>
      </c>
      <c r="G329">
        <v>0</v>
      </c>
      <c r="H329">
        <v>0</v>
      </c>
      <c r="I329">
        <v>35</v>
      </c>
      <c r="J329">
        <v>0</v>
      </c>
      <c r="K329">
        <v>27</v>
      </c>
      <c r="L329">
        <v>199</v>
      </c>
      <c r="M329">
        <v>6</v>
      </c>
      <c r="N329">
        <v>8</v>
      </c>
      <c r="O329">
        <v>1</v>
      </c>
      <c r="P329">
        <v>32</v>
      </c>
      <c r="Q329">
        <v>32</v>
      </c>
      <c r="R329">
        <v>26</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2</v>
      </c>
      <c r="AW329">
        <v>0</v>
      </c>
      <c r="AX329">
        <v>0</v>
      </c>
      <c r="AY329">
        <v>0</v>
      </c>
    </row>
    <row r="330" spans="1:51" x14ac:dyDescent="0.3">
      <c r="A330" t="s">
        <v>364</v>
      </c>
      <c r="B330" t="s">
        <v>52</v>
      </c>
      <c r="C330" t="s">
        <v>453</v>
      </c>
      <c r="D330" t="s">
        <v>456</v>
      </c>
      <c r="E330" t="s">
        <v>55</v>
      </c>
      <c r="F330">
        <v>28</v>
      </c>
      <c r="G330">
        <v>0</v>
      </c>
      <c r="H330">
        <v>0</v>
      </c>
      <c r="I330">
        <v>28</v>
      </c>
      <c r="J330">
        <v>0</v>
      </c>
      <c r="K330">
        <v>28</v>
      </c>
      <c r="L330">
        <v>101</v>
      </c>
      <c r="M330">
        <v>0</v>
      </c>
      <c r="N330">
        <v>2</v>
      </c>
      <c r="O330">
        <v>1</v>
      </c>
      <c r="P330">
        <v>28</v>
      </c>
      <c r="Q330">
        <v>24</v>
      </c>
      <c r="R330">
        <v>28</v>
      </c>
      <c r="S330">
        <v>0</v>
      </c>
      <c r="T330">
        <v>0</v>
      </c>
      <c r="U330">
        <v>0</v>
      </c>
      <c r="V330">
        <v>0</v>
      </c>
      <c r="W330">
        <v>0</v>
      </c>
      <c r="X330">
        <v>29</v>
      </c>
      <c r="Y330">
        <v>4</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row>
    <row r="331" spans="1:51" x14ac:dyDescent="0.3">
      <c r="A331" t="s">
        <v>364</v>
      </c>
      <c r="B331" t="s">
        <v>52</v>
      </c>
      <c r="C331" t="s">
        <v>448</v>
      </c>
      <c r="D331" t="s">
        <v>457</v>
      </c>
      <c r="E331" t="s">
        <v>55</v>
      </c>
      <c r="F331">
        <v>45</v>
      </c>
      <c r="G331">
        <v>0</v>
      </c>
      <c r="H331">
        <v>0</v>
      </c>
      <c r="I331">
        <v>45</v>
      </c>
      <c r="J331">
        <v>0</v>
      </c>
      <c r="K331">
        <v>44</v>
      </c>
      <c r="L331">
        <v>295</v>
      </c>
      <c r="M331">
        <v>9</v>
      </c>
      <c r="N331">
        <v>6</v>
      </c>
      <c r="O331">
        <v>0</v>
      </c>
      <c r="P331">
        <v>32</v>
      </c>
      <c r="Q331">
        <v>32</v>
      </c>
      <c r="R331">
        <v>24</v>
      </c>
      <c r="S331">
        <v>4</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4</v>
      </c>
      <c r="AW331">
        <v>0</v>
      </c>
      <c r="AX331">
        <v>0</v>
      </c>
      <c r="AY331">
        <v>0</v>
      </c>
    </row>
    <row r="332" spans="1:51" x14ac:dyDescent="0.3">
      <c r="A332" t="s">
        <v>364</v>
      </c>
      <c r="B332" t="s">
        <v>52</v>
      </c>
      <c r="C332" t="s">
        <v>441</v>
      </c>
      <c r="D332" t="s">
        <v>458</v>
      </c>
      <c r="E332" t="s">
        <v>55</v>
      </c>
      <c r="F332">
        <v>20</v>
      </c>
      <c r="G332">
        <v>0</v>
      </c>
      <c r="H332">
        <v>0</v>
      </c>
      <c r="I332">
        <v>20</v>
      </c>
      <c r="J332">
        <v>0</v>
      </c>
      <c r="K332">
        <v>19</v>
      </c>
      <c r="L332">
        <v>147</v>
      </c>
      <c r="M332">
        <v>2</v>
      </c>
      <c r="N332">
        <v>2</v>
      </c>
      <c r="O332">
        <v>0</v>
      </c>
      <c r="P332">
        <v>15</v>
      </c>
      <c r="Q332">
        <v>15</v>
      </c>
      <c r="R332">
        <v>11</v>
      </c>
      <c r="S332">
        <v>15</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row>
    <row r="333" spans="1:51" x14ac:dyDescent="0.3">
      <c r="A333" t="s">
        <v>364</v>
      </c>
      <c r="B333" t="s">
        <v>52</v>
      </c>
      <c r="C333" t="s">
        <v>443</v>
      </c>
      <c r="D333" t="s">
        <v>459</v>
      </c>
      <c r="E333" t="s">
        <v>55</v>
      </c>
      <c r="F333">
        <v>27</v>
      </c>
      <c r="G333">
        <v>0</v>
      </c>
      <c r="H333">
        <v>0</v>
      </c>
      <c r="I333">
        <v>27</v>
      </c>
      <c r="J333">
        <v>0</v>
      </c>
      <c r="K333">
        <v>26</v>
      </c>
      <c r="L333">
        <v>168</v>
      </c>
      <c r="M333">
        <v>7</v>
      </c>
      <c r="N333">
        <v>7</v>
      </c>
      <c r="O333">
        <v>1</v>
      </c>
      <c r="P333">
        <v>22</v>
      </c>
      <c r="Q333">
        <v>3</v>
      </c>
      <c r="R333">
        <v>23</v>
      </c>
      <c r="S333">
        <v>22</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2</v>
      </c>
      <c r="AW333">
        <v>0</v>
      </c>
      <c r="AX333">
        <v>0</v>
      </c>
      <c r="AY333">
        <v>0</v>
      </c>
    </row>
    <row r="334" spans="1:51" x14ac:dyDescent="0.3">
      <c r="A334" t="s">
        <v>364</v>
      </c>
      <c r="B334" t="s">
        <v>52</v>
      </c>
      <c r="C334" t="s">
        <v>443</v>
      </c>
      <c r="D334" t="s">
        <v>460</v>
      </c>
      <c r="E334" t="s">
        <v>55</v>
      </c>
      <c r="F334">
        <v>98</v>
      </c>
      <c r="G334">
        <v>0</v>
      </c>
      <c r="H334">
        <v>0</v>
      </c>
      <c r="I334">
        <v>98</v>
      </c>
      <c r="J334">
        <v>0</v>
      </c>
      <c r="K334">
        <v>98</v>
      </c>
      <c r="L334">
        <v>478</v>
      </c>
      <c r="M334">
        <v>13</v>
      </c>
      <c r="N334">
        <v>14</v>
      </c>
      <c r="O334">
        <v>5</v>
      </c>
      <c r="P334">
        <v>75</v>
      </c>
      <c r="Q334">
        <v>39</v>
      </c>
      <c r="R334">
        <v>61</v>
      </c>
      <c r="S334">
        <v>2</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5</v>
      </c>
      <c r="AW334">
        <v>0</v>
      </c>
      <c r="AX334">
        <v>0</v>
      </c>
      <c r="AY334">
        <v>0</v>
      </c>
    </row>
    <row r="335" spans="1:51" x14ac:dyDescent="0.3">
      <c r="A335" t="s">
        <v>364</v>
      </c>
      <c r="B335" t="s">
        <v>52</v>
      </c>
      <c r="C335" t="s">
        <v>441</v>
      </c>
      <c r="D335" t="s">
        <v>461</v>
      </c>
      <c r="E335" t="s">
        <v>55</v>
      </c>
      <c r="F335">
        <v>27</v>
      </c>
      <c r="G335">
        <v>0</v>
      </c>
      <c r="H335">
        <v>0</v>
      </c>
      <c r="I335">
        <v>27</v>
      </c>
      <c r="J335">
        <v>0</v>
      </c>
      <c r="K335">
        <v>24</v>
      </c>
      <c r="L335">
        <v>137</v>
      </c>
      <c r="M335">
        <v>0</v>
      </c>
      <c r="N335">
        <v>1</v>
      </c>
      <c r="O335">
        <v>0</v>
      </c>
      <c r="P335">
        <v>20</v>
      </c>
      <c r="Q335">
        <v>20</v>
      </c>
      <c r="R335">
        <v>19</v>
      </c>
      <c r="S335">
        <v>17</v>
      </c>
      <c r="T335">
        <v>0</v>
      </c>
      <c r="U335">
        <v>0</v>
      </c>
      <c r="V335">
        <v>0</v>
      </c>
      <c r="W335">
        <v>0</v>
      </c>
      <c r="X335">
        <v>18</v>
      </c>
      <c r="Y335">
        <v>2</v>
      </c>
      <c r="Z335">
        <v>0</v>
      </c>
      <c r="AA335">
        <v>0</v>
      </c>
      <c r="AB335">
        <v>0</v>
      </c>
      <c r="AC335">
        <v>0</v>
      </c>
      <c r="AD335">
        <v>0</v>
      </c>
      <c r="AE335">
        <v>0</v>
      </c>
      <c r="AF335">
        <v>0</v>
      </c>
      <c r="AG335">
        <v>0</v>
      </c>
      <c r="AH335">
        <v>0</v>
      </c>
      <c r="AI335">
        <v>0</v>
      </c>
      <c r="AJ335">
        <v>0</v>
      </c>
      <c r="AK335">
        <v>0</v>
      </c>
      <c r="AL335">
        <v>0</v>
      </c>
      <c r="AM335">
        <v>0</v>
      </c>
      <c r="AN335">
        <v>1</v>
      </c>
      <c r="AO335">
        <v>1</v>
      </c>
      <c r="AP335">
        <v>1</v>
      </c>
      <c r="AQ335">
        <v>0</v>
      </c>
      <c r="AR335">
        <v>0</v>
      </c>
      <c r="AS335">
        <v>0</v>
      </c>
      <c r="AT335">
        <v>0</v>
      </c>
      <c r="AU335">
        <v>0</v>
      </c>
      <c r="AV335">
        <v>9</v>
      </c>
      <c r="AW335">
        <v>0</v>
      </c>
      <c r="AX335">
        <v>0</v>
      </c>
      <c r="AY335">
        <v>0</v>
      </c>
    </row>
    <row r="336" spans="1:51" x14ac:dyDescent="0.3">
      <c r="A336" t="s">
        <v>364</v>
      </c>
      <c r="B336" t="s">
        <v>52</v>
      </c>
      <c r="C336" t="s">
        <v>448</v>
      </c>
      <c r="D336" t="s">
        <v>462</v>
      </c>
      <c r="E336" t="s">
        <v>55</v>
      </c>
      <c r="F336">
        <v>26</v>
      </c>
      <c r="G336">
        <v>0</v>
      </c>
      <c r="H336">
        <v>0</v>
      </c>
      <c r="I336">
        <v>24</v>
      </c>
      <c r="J336">
        <v>0</v>
      </c>
      <c r="K336">
        <v>24</v>
      </c>
      <c r="L336">
        <v>109</v>
      </c>
      <c r="M336">
        <v>7</v>
      </c>
      <c r="N336">
        <v>6</v>
      </c>
      <c r="O336">
        <v>1</v>
      </c>
      <c r="P336">
        <v>20</v>
      </c>
      <c r="Q336">
        <v>20</v>
      </c>
      <c r="R336">
        <v>17</v>
      </c>
      <c r="S336">
        <v>5</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14</v>
      </c>
      <c r="AW336">
        <v>0</v>
      </c>
      <c r="AX336">
        <v>0</v>
      </c>
      <c r="AY336">
        <v>0</v>
      </c>
    </row>
    <row r="337" spans="1:51" x14ac:dyDescent="0.3">
      <c r="A337" t="s">
        <v>364</v>
      </c>
      <c r="B337" t="s">
        <v>52</v>
      </c>
      <c r="C337" t="s">
        <v>448</v>
      </c>
      <c r="D337" t="s">
        <v>463</v>
      </c>
      <c r="E337" t="s">
        <v>55</v>
      </c>
      <c r="F337">
        <v>50</v>
      </c>
      <c r="G337">
        <v>0</v>
      </c>
      <c r="H337">
        <v>0</v>
      </c>
      <c r="I337">
        <v>50</v>
      </c>
      <c r="J337">
        <v>0</v>
      </c>
      <c r="K337">
        <v>50</v>
      </c>
      <c r="L337">
        <v>215</v>
      </c>
      <c r="M337">
        <v>0</v>
      </c>
      <c r="N337">
        <v>0</v>
      </c>
      <c r="O337">
        <v>0</v>
      </c>
      <c r="P337">
        <v>57</v>
      </c>
      <c r="Q337">
        <v>57</v>
      </c>
      <c r="R337">
        <v>30</v>
      </c>
      <c r="S337">
        <v>2</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9</v>
      </c>
      <c r="AW337">
        <v>0</v>
      </c>
      <c r="AX337">
        <v>0</v>
      </c>
      <c r="AY337">
        <v>0</v>
      </c>
    </row>
    <row r="338" spans="1:51" x14ac:dyDescent="0.3">
      <c r="A338" t="s">
        <v>364</v>
      </c>
      <c r="B338" t="s">
        <v>52</v>
      </c>
      <c r="C338" t="s">
        <v>453</v>
      </c>
      <c r="D338" t="s">
        <v>464</v>
      </c>
      <c r="E338" t="s">
        <v>55</v>
      </c>
      <c r="F338">
        <v>16</v>
      </c>
      <c r="G338">
        <v>0</v>
      </c>
      <c r="H338">
        <v>0</v>
      </c>
      <c r="I338">
        <v>16</v>
      </c>
      <c r="J338">
        <v>0</v>
      </c>
      <c r="K338">
        <v>12</v>
      </c>
      <c r="L338">
        <v>88</v>
      </c>
      <c r="M338">
        <v>3</v>
      </c>
      <c r="N338">
        <v>9</v>
      </c>
      <c r="O338">
        <v>1</v>
      </c>
      <c r="P338">
        <v>28</v>
      </c>
      <c r="Q338">
        <v>28</v>
      </c>
      <c r="R338">
        <v>10</v>
      </c>
      <c r="S338">
        <v>5</v>
      </c>
      <c r="T338">
        <v>0</v>
      </c>
      <c r="U338">
        <v>0</v>
      </c>
      <c r="V338">
        <v>0</v>
      </c>
      <c r="W338">
        <v>0</v>
      </c>
      <c r="X338">
        <v>13</v>
      </c>
      <c r="Y338">
        <v>5</v>
      </c>
      <c r="Z338">
        <v>0</v>
      </c>
      <c r="AA338">
        <v>0</v>
      </c>
      <c r="AB338">
        <v>0</v>
      </c>
      <c r="AC338">
        <v>0</v>
      </c>
      <c r="AD338">
        <v>0</v>
      </c>
      <c r="AE338">
        <v>0</v>
      </c>
      <c r="AF338">
        <v>0</v>
      </c>
      <c r="AG338">
        <v>0</v>
      </c>
      <c r="AH338">
        <v>0</v>
      </c>
      <c r="AI338">
        <v>0</v>
      </c>
      <c r="AJ338">
        <v>0</v>
      </c>
      <c r="AK338">
        <v>0</v>
      </c>
      <c r="AL338">
        <v>0</v>
      </c>
      <c r="AM338">
        <v>0</v>
      </c>
      <c r="AN338">
        <v>1</v>
      </c>
      <c r="AO338">
        <v>0</v>
      </c>
      <c r="AP338">
        <v>0</v>
      </c>
      <c r="AQ338">
        <v>0</v>
      </c>
      <c r="AR338">
        <v>0</v>
      </c>
      <c r="AS338">
        <v>0</v>
      </c>
      <c r="AT338">
        <v>0</v>
      </c>
      <c r="AU338">
        <v>0</v>
      </c>
      <c r="AV338">
        <v>0</v>
      </c>
      <c r="AW338">
        <v>0</v>
      </c>
      <c r="AX338">
        <v>0</v>
      </c>
      <c r="AY338">
        <v>0</v>
      </c>
    </row>
    <row r="339" spans="1:51" x14ac:dyDescent="0.3">
      <c r="A339" t="s">
        <v>364</v>
      </c>
      <c r="B339" t="s">
        <v>52</v>
      </c>
      <c r="C339" t="s">
        <v>443</v>
      </c>
      <c r="D339" t="s">
        <v>465</v>
      </c>
      <c r="E339" t="s">
        <v>55</v>
      </c>
      <c r="F339">
        <v>42</v>
      </c>
      <c r="G339">
        <v>0</v>
      </c>
      <c r="H339">
        <v>0</v>
      </c>
      <c r="I339">
        <v>42</v>
      </c>
      <c r="J339">
        <v>0</v>
      </c>
      <c r="K339">
        <v>42</v>
      </c>
      <c r="L339">
        <v>187</v>
      </c>
      <c r="M339">
        <v>7</v>
      </c>
      <c r="N339">
        <v>1</v>
      </c>
      <c r="O339">
        <v>0</v>
      </c>
      <c r="P339">
        <v>32</v>
      </c>
      <c r="Q339">
        <v>28</v>
      </c>
      <c r="R339">
        <v>36</v>
      </c>
      <c r="S339">
        <v>21</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1</v>
      </c>
      <c r="AW339">
        <v>0</v>
      </c>
      <c r="AX339">
        <v>0</v>
      </c>
      <c r="AY339">
        <v>0</v>
      </c>
    </row>
    <row r="340" spans="1:51" x14ac:dyDescent="0.3">
      <c r="A340" t="s">
        <v>364</v>
      </c>
      <c r="B340" t="s">
        <v>52</v>
      </c>
      <c r="C340" t="s">
        <v>445</v>
      </c>
      <c r="D340" t="s">
        <v>466</v>
      </c>
      <c r="E340" t="s">
        <v>55</v>
      </c>
      <c r="F340">
        <v>91</v>
      </c>
      <c r="G340">
        <v>0</v>
      </c>
      <c r="H340">
        <v>0</v>
      </c>
      <c r="I340">
        <v>91</v>
      </c>
      <c r="J340">
        <v>0</v>
      </c>
      <c r="K340">
        <v>86</v>
      </c>
      <c r="L340">
        <v>209</v>
      </c>
      <c r="M340">
        <v>10</v>
      </c>
      <c r="N340">
        <v>16</v>
      </c>
      <c r="O340">
        <v>1</v>
      </c>
      <c r="P340">
        <v>60</v>
      </c>
      <c r="Q340">
        <v>56</v>
      </c>
      <c r="R340">
        <v>83</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row>
    <row r="341" spans="1:51" x14ac:dyDescent="0.3">
      <c r="A341" t="s">
        <v>364</v>
      </c>
      <c r="B341" t="s">
        <v>52</v>
      </c>
      <c r="C341" t="s">
        <v>467</v>
      </c>
      <c r="D341" t="s">
        <v>468</v>
      </c>
      <c r="E341" t="s">
        <v>55</v>
      </c>
      <c r="F341">
        <v>22</v>
      </c>
      <c r="G341">
        <v>0</v>
      </c>
      <c r="H341">
        <v>0</v>
      </c>
      <c r="I341">
        <v>22</v>
      </c>
      <c r="J341">
        <v>0</v>
      </c>
      <c r="K341">
        <v>22</v>
      </c>
      <c r="L341">
        <v>155</v>
      </c>
      <c r="M341">
        <v>1</v>
      </c>
      <c r="N341">
        <v>5</v>
      </c>
      <c r="O341">
        <v>0</v>
      </c>
      <c r="P341">
        <v>30</v>
      </c>
      <c r="Q341">
        <v>30</v>
      </c>
      <c r="R341">
        <v>21</v>
      </c>
      <c r="S341">
        <v>25</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row>
    <row r="342" spans="1:51" x14ac:dyDescent="0.3">
      <c r="A342" t="s">
        <v>364</v>
      </c>
      <c r="B342" t="s">
        <v>52</v>
      </c>
      <c r="C342" t="s">
        <v>445</v>
      </c>
      <c r="D342" t="s">
        <v>469</v>
      </c>
      <c r="E342" t="s">
        <v>55</v>
      </c>
      <c r="F342">
        <v>28</v>
      </c>
      <c r="G342">
        <v>0</v>
      </c>
      <c r="H342">
        <v>0</v>
      </c>
      <c r="I342">
        <v>28</v>
      </c>
      <c r="J342">
        <v>0</v>
      </c>
      <c r="K342">
        <v>28</v>
      </c>
      <c r="L342">
        <v>102</v>
      </c>
      <c r="M342">
        <v>4</v>
      </c>
      <c r="N342">
        <v>7</v>
      </c>
      <c r="O342">
        <v>0</v>
      </c>
      <c r="P342">
        <v>27</v>
      </c>
      <c r="Q342">
        <v>4</v>
      </c>
      <c r="R342">
        <v>28</v>
      </c>
      <c r="S342">
        <v>3</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row>
    <row r="343" spans="1:51" x14ac:dyDescent="0.3">
      <c r="A343" t="s">
        <v>364</v>
      </c>
      <c r="B343" t="s">
        <v>52</v>
      </c>
      <c r="C343" t="s">
        <v>443</v>
      </c>
      <c r="D343" t="s">
        <v>470</v>
      </c>
      <c r="E343" t="s">
        <v>55</v>
      </c>
      <c r="F343">
        <v>27</v>
      </c>
      <c r="G343">
        <v>0</v>
      </c>
      <c r="H343">
        <v>0</v>
      </c>
      <c r="I343">
        <v>27</v>
      </c>
      <c r="J343">
        <v>0</v>
      </c>
      <c r="K343">
        <v>27</v>
      </c>
      <c r="L343">
        <v>132</v>
      </c>
      <c r="M343">
        <v>0</v>
      </c>
      <c r="N343">
        <v>0</v>
      </c>
      <c r="O343">
        <v>0</v>
      </c>
      <c r="P343">
        <v>26</v>
      </c>
      <c r="Q343">
        <v>28</v>
      </c>
      <c r="R343">
        <v>23</v>
      </c>
      <c r="S343">
        <v>19</v>
      </c>
      <c r="T343">
        <v>0</v>
      </c>
      <c r="U343">
        <v>0</v>
      </c>
      <c r="V343">
        <v>0</v>
      </c>
      <c r="W343">
        <v>0</v>
      </c>
      <c r="X343">
        <v>0</v>
      </c>
      <c r="Y343">
        <v>0</v>
      </c>
      <c r="Z343">
        <v>0</v>
      </c>
      <c r="AA343">
        <v>0</v>
      </c>
      <c r="AB343">
        <v>0</v>
      </c>
      <c r="AC343">
        <v>0</v>
      </c>
      <c r="AD343">
        <v>0</v>
      </c>
      <c r="AE343">
        <v>0</v>
      </c>
      <c r="AF343">
        <v>0</v>
      </c>
      <c r="AG343">
        <v>0</v>
      </c>
      <c r="AH343">
        <v>0</v>
      </c>
      <c r="AI343">
        <v>0</v>
      </c>
      <c r="AJ343">
        <v>0</v>
      </c>
      <c r="AK343">
        <v>0</v>
      </c>
      <c r="AL343">
        <v>0</v>
      </c>
      <c r="AM343">
        <v>0</v>
      </c>
      <c r="AN343">
        <v>0</v>
      </c>
      <c r="AO343">
        <v>0</v>
      </c>
      <c r="AP343">
        <v>0</v>
      </c>
      <c r="AQ343">
        <v>0</v>
      </c>
      <c r="AR343">
        <v>0</v>
      </c>
      <c r="AS343">
        <v>0</v>
      </c>
      <c r="AT343">
        <v>0</v>
      </c>
      <c r="AU343">
        <v>0</v>
      </c>
      <c r="AV343">
        <v>0</v>
      </c>
      <c r="AW343">
        <v>0</v>
      </c>
      <c r="AX343">
        <v>0</v>
      </c>
      <c r="AY343">
        <v>0</v>
      </c>
    </row>
    <row r="344" spans="1:51" x14ac:dyDescent="0.3">
      <c r="A344" t="s">
        <v>364</v>
      </c>
      <c r="B344" t="s">
        <v>52</v>
      </c>
      <c r="C344" t="s">
        <v>441</v>
      </c>
      <c r="D344" t="s">
        <v>471</v>
      </c>
      <c r="E344" t="s">
        <v>55</v>
      </c>
      <c r="F344">
        <v>10</v>
      </c>
      <c r="G344">
        <v>0</v>
      </c>
      <c r="H344">
        <v>0</v>
      </c>
      <c r="I344">
        <v>10</v>
      </c>
      <c r="J344">
        <v>0</v>
      </c>
      <c r="K344">
        <v>10</v>
      </c>
      <c r="L344">
        <v>71</v>
      </c>
      <c r="M344">
        <v>0</v>
      </c>
      <c r="N344">
        <v>0</v>
      </c>
      <c r="O344">
        <v>0</v>
      </c>
      <c r="P344">
        <v>18</v>
      </c>
      <c r="Q344">
        <v>21</v>
      </c>
      <c r="R344">
        <v>4</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row>
    <row r="345" spans="1:51" x14ac:dyDescent="0.3">
      <c r="A345" t="s">
        <v>364</v>
      </c>
      <c r="B345" t="s">
        <v>52</v>
      </c>
      <c r="C345" t="s">
        <v>445</v>
      </c>
      <c r="D345" t="s">
        <v>472</v>
      </c>
      <c r="E345" t="s">
        <v>55</v>
      </c>
      <c r="F345">
        <v>54</v>
      </c>
      <c r="G345">
        <v>0</v>
      </c>
      <c r="H345">
        <v>0</v>
      </c>
      <c r="I345">
        <v>54</v>
      </c>
      <c r="J345">
        <v>0</v>
      </c>
      <c r="K345">
        <v>52</v>
      </c>
      <c r="L345">
        <v>262</v>
      </c>
      <c r="M345">
        <v>0</v>
      </c>
      <c r="N345">
        <v>0</v>
      </c>
      <c r="O345">
        <v>0</v>
      </c>
      <c r="P345">
        <v>63</v>
      </c>
      <c r="Q345">
        <v>52</v>
      </c>
      <c r="R345">
        <v>53</v>
      </c>
      <c r="S345">
        <v>12</v>
      </c>
      <c r="T345">
        <v>0</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row>
    <row r="346" spans="1:51" x14ac:dyDescent="0.3">
      <c r="A346" t="s">
        <v>364</v>
      </c>
      <c r="B346" t="s">
        <v>52</v>
      </c>
      <c r="C346" t="s">
        <v>445</v>
      </c>
      <c r="D346" t="s">
        <v>473</v>
      </c>
      <c r="E346" t="s">
        <v>55</v>
      </c>
      <c r="F346">
        <v>22</v>
      </c>
      <c r="G346">
        <v>0</v>
      </c>
      <c r="H346">
        <v>0</v>
      </c>
      <c r="I346">
        <v>22</v>
      </c>
      <c r="J346">
        <v>0</v>
      </c>
      <c r="K346">
        <v>18</v>
      </c>
      <c r="L346">
        <v>105</v>
      </c>
      <c r="M346">
        <v>0</v>
      </c>
      <c r="N346">
        <v>0</v>
      </c>
      <c r="O346">
        <v>0</v>
      </c>
      <c r="P346">
        <v>16</v>
      </c>
      <c r="Q346">
        <v>16</v>
      </c>
      <c r="R346">
        <v>20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row>
    <row r="347" spans="1:51" x14ac:dyDescent="0.3">
      <c r="A347" t="s">
        <v>364</v>
      </c>
      <c r="B347" t="s">
        <v>52</v>
      </c>
      <c r="C347" t="s">
        <v>443</v>
      </c>
      <c r="D347" t="s">
        <v>474</v>
      </c>
      <c r="E347" t="s">
        <v>55</v>
      </c>
      <c r="F347">
        <v>11</v>
      </c>
      <c r="G347">
        <v>0</v>
      </c>
      <c r="H347">
        <v>0</v>
      </c>
      <c r="I347">
        <v>11</v>
      </c>
      <c r="J347">
        <v>0</v>
      </c>
      <c r="K347">
        <v>11</v>
      </c>
      <c r="L347">
        <v>51</v>
      </c>
      <c r="M347">
        <v>2</v>
      </c>
      <c r="N347">
        <v>0</v>
      </c>
      <c r="O347">
        <v>0</v>
      </c>
      <c r="P347">
        <v>9</v>
      </c>
      <c r="Q347">
        <v>9</v>
      </c>
      <c r="R347">
        <v>4</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4</v>
      </c>
      <c r="AW347">
        <v>0</v>
      </c>
      <c r="AX347">
        <v>0</v>
      </c>
      <c r="AY347">
        <v>0</v>
      </c>
    </row>
    <row r="348" spans="1:51" x14ac:dyDescent="0.3">
      <c r="A348" t="s">
        <v>364</v>
      </c>
      <c r="B348" t="s">
        <v>52</v>
      </c>
      <c r="C348" t="s">
        <v>467</v>
      </c>
      <c r="D348" t="s">
        <v>475</v>
      </c>
      <c r="E348" t="s">
        <v>55</v>
      </c>
      <c r="F348">
        <v>21</v>
      </c>
      <c r="G348">
        <v>0</v>
      </c>
      <c r="H348">
        <v>0</v>
      </c>
      <c r="I348">
        <v>21</v>
      </c>
      <c r="J348">
        <v>0</v>
      </c>
      <c r="K348">
        <v>13</v>
      </c>
      <c r="L348">
        <v>131</v>
      </c>
      <c r="M348">
        <v>2</v>
      </c>
      <c r="N348">
        <v>3</v>
      </c>
      <c r="O348">
        <v>0</v>
      </c>
      <c r="P348">
        <v>19</v>
      </c>
      <c r="Q348">
        <v>21</v>
      </c>
      <c r="R348">
        <v>10</v>
      </c>
      <c r="S348">
        <v>25</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row>
    <row r="349" spans="1:51" x14ac:dyDescent="0.3">
      <c r="A349" t="s">
        <v>364</v>
      </c>
      <c r="B349" t="s">
        <v>52</v>
      </c>
      <c r="C349" t="s">
        <v>443</v>
      </c>
      <c r="D349" t="s">
        <v>476</v>
      </c>
      <c r="E349" t="s">
        <v>55</v>
      </c>
      <c r="F349">
        <v>18</v>
      </c>
      <c r="G349">
        <v>0</v>
      </c>
      <c r="H349">
        <v>0</v>
      </c>
      <c r="I349">
        <v>18</v>
      </c>
      <c r="J349">
        <v>0</v>
      </c>
      <c r="K349">
        <v>14</v>
      </c>
      <c r="L349">
        <v>125</v>
      </c>
      <c r="M349">
        <v>3</v>
      </c>
      <c r="N349">
        <v>3</v>
      </c>
      <c r="O349">
        <v>0</v>
      </c>
      <c r="P349">
        <v>12</v>
      </c>
      <c r="Q349">
        <v>12</v>
      </c>
      <c r="R349">
        <v>9</v>
      </c>
      <c r="S349">
        <v>10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row>
    <row r="350" spans="1:51" x14ac:dyDescent="0.3">
      <c r="A350" t="s">
        <v>364</v>
      </c>
      <c r="B350" t="s">
        <v>52</v>
      </c>
      <c r="C350" t="s">
        <v>467</v>
      </c>
      <c r="D350" t="s">
        <v>477</v>
      </c>
      <c r="E350" t="s">
        <v>55</v>
      </c>
      <c r="F350">
        <v>26</v>
      </c>
      <c r="G350">
        <v>0</v>
      </c>
      <c r="H350">
        <v>0</v>
      </c>
      <c r="I350">
        <v>26</v>
      </c>
      <c r="J350">
        <v>0</v>
      </c>
      <c r="K350">
        <v>23</v>
      </c>
      <c r="L350">
        <v>117</v>
      </c>
      <c r="M350">
        <v>9</v>
      </c>
      <c r="N350">
        <v>1</v>
      </c>
      <c r="O350">
        <v>1</v>
      </c>
      <c r="P350">
        <v>22</v>
      </c>
      <c r="Q350">
        <v>25</v>
      </c>
      <c r="R350">
        <v>10</v>
      </c>
      <c r="S350">
        <v>28</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row>
    <row r="351" spans="1:51" x14ac:dyDescent="0.3">
      <c r="A351" t="s">
        <v>364</v>
      </c>
      <c r="B351" t="s">
        <v>52</v>
      </c>
      <c r="C351" t="s">
        <v>467</v>
      </c>
      <c r="D351" t="s">
        <v>478</v>
      </c>
      <c r="E351" t="s">
        <v>55</v>
      </c>
      <c r="F351">
        <v>13</v>
      </c>
      <c r="G351">
        <v>0</v>
      </c>
      <c r="H351">
        <v>0</v>
      </c>
      <c r="I351">
        <v>13</v>
      </c>
      <c r="J351">
        <v>0</v>
      </c>
      <c r="K351">
        <v>13</v>
      </c>
      <c r="L351">
        <v>60</v>
      </c>
      <c r="M351">
        <v>0</v>
      </c>
      <c r="N351">
        <v>0</v>
      </c>
      <c r="O351">
        <v>0</v>
      </c>
      <c r="P351">
        <v>16</v>
      </c>
      <c r="Q351">
        <v>16</v>
      </c>
      <c r="R351">
        <v>6</v>
      </c>
      <c r="S351">
        <v>14</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row>
    <row r="352" spans="1:51" x14ac:dyDescent="0.3">
      <c r="A352" t="s">
        <v>364</v>
      </c>
      <c r="B352" t="s">
        <v>52</v>
      </c>
      <c r="C352" t="s">
        <v>441</v>
      </c>
      <c r="D352" t="s">
        <v>479</v>
      </c>
      <c r="E352" t="s">
        <v>55</v>
      </c>
      <c r="F352">
        <v>34</v>
      </c>
      <c r="G352">
        <v>0</v>
      </c>
      <c r="H352">
        <v>0</v>
      </c>
      <c r="I352">
        <v>34</v>
      </c>
      <c r="J352">
        <v>0</v>
      </c>
      <c r="K352">
        <v>21</v>
      </c>
      <c r="L352">
        <v>242</v>
      </c>
      <c r="M352">
        <v>0</v>
      </c>
      <c r="N352">
        <v>0</v>
      </c>
      <c r="O352">
        <v>0</v>
      </c>
      <c r="P352">
        <v>30</v>
      </c>
      <c r="Q352">
        <v>30</v>
      </c>
      <c r="R352">
        <v>27</v>
      </c>
      <c r="S352">
        <v>7</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row>
    <row r="353" spans="1:51" x14ac:dyDescent="0.3">
      <c r="A353" t="s">
        <v>364</v>
      </c>
      <c r="B353" t="s">
        <v>52</v>
      </c>
      <c r="C353" t="s">
        <v>441</v>
      </c>
      <c r="D353" t="s">
        <v>480</v>
      </c>
      <c r="E353" t="s">
        <v>55</v>
      </c>
      <c r="F353">
        <v>50</v>
      </c>
      <c r="G353">
        <v>0</v>
      </c>
      <c r="H353">
        <v>0</v>
      </c>
      <c r="I353">
        <v>50</v>
      </c>
      <c r="J353">
        <v>0</v>
      </c>
      <c r="K353">
        <v>50</v>
      </c>
      <c r="L353">
        <v>240</v>
      </c>
      <c r="M353">
        <v>0</v>
      </c>
      <c r="N353">
        <v>0</v>
      </c>
      <c r="O353">
        <v>0</v>
      </c>
      <c r="P353">
        <v>44</v>
      </c>
      <c r="Q353">
        <v>49</v>
      </c>
      <c r="R353">
        <v>53</v>
      </c>
      <c r="S353">
        <v>54</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3</v>
      </c>
      <c r="AW353">
        <v>0</v>
      </c>
      <c r="AX353">
        <v>0</v>
      </c>
      <c r="AY353">
        <v>0</v>
      </c>
    </row>
    <row r="354" spans="1:51" x14ac:dyDescent="0.3">
      <c r="A354" t="s">
        <v>364</v>
      </c>
      <c r="B354" t="s">
        <v>52</v>
      </c>
      <c r="C354" t="s">
        <v>441</v>
      </c>
      <c r="D354" t="s">
        <v>481</v>
      </c>
      <c r="E354" t="s">
        <v>55</v>
      </c>
      <c r="F354">
        <v>8</v>
      </c>
      <c r="G354">
        <v>0</v>
      </c>
      <c r="H354">
        <v>0</v>
      </c>
      <c r="I354">
        <v>8</v>
      </c>
      <c r="J354">
        <v>0</v>
      </c>
      <c r="K354">
        <v>6</v>
      </c>
      <c r="L354">
        <v>20</v>
      </c>
      <c r="M354">
        <v>0</v>
      </c>
      <c r="N354">
        <v>0</v>
      </c>
      <c r="O354">
        <v>0</v>
      </c>
      <c r="P354">
        <v>5</v>
      </c>
      <c r="Q354">
        <v>5</v>
      </c>
      <c r="R354">
        <v>13</v>
      </c>
      <c r="S354">
        <v>6</v>
      </c>
      <c r="T354">
        <v>3</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row>
    <row r="355" spans="1:51" x14ac:dyDescent="0.3">
      <c r="A355" t="s">
        <v>364</v>
      </c>
      <c r="B355" t="s">
        <v>52</v>
      </c>
      <c r="C355" t="s">
        <v>445</v>
      </c>
      <c r="D355" t="s">
        <v>482</v>
      </c>
      <c r="E355" t="s">
        <v>55</v>
      </c>
      <c r="F355">
        <v>38</v>
      </c>
      <c r="G355">
        <v>0</v>
      </c>
      <c r="H355">
        <v>0</v>
      </c>
      <c r="I355">
        <v>38</v>
      </c>
      <c r="J355">
        <v>0</v>
      </c>
      <c r="K355">
        <v>36</v>
      </c>
      <c r="L355">
        <v>241</v>
      </c>
      <c r="M355">
        <v>10</v>
      </c>
      <c r="N355">
        <v>6</v>
      </c>
      <c r="O355">
        <v>0</v>
      </c>
      <c r="P355">
        <v>33</v>
      </c>
      <c r="Q355">
        <v>33</v>
      </c>
      <c r="R355">
        <v>27</v>
      </c>
      <c r="S355">
        <v>5</v>
      </c>
      <c r="T355">
        <v>0</v>
      </c>
      <c r="U355">
        <v>0</v>
      </c>
      <c r="V355">
        <v>0</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row>
    <row r="356" spans="1:51" x14ac:dyDescent="0.3">
      <c r="A356" t="s">
        <v>364</v>
      </c>
      <c r="B356" t="s">
        <v>52</v>
      </c>
      <c r="C356" t="s">
        <v>445</v>
      </c>
      <c r="D356" t="s">
        <v>483</v>
      </c>
      <c r="E356" t="s">
        <v>55</v>
      </c>
      <c r="F356">
        <v>52</v>
      </c>
      <c r="G356">
        <v>0</v>
      </c>
      <c r="H356">
        <v>0</v>
      </c>
      <c r="I356">
        <v>52</v>
      </c>
      <c r="J356">
        <v>0</v>
      </c>
      <c r="K356">
        <v>52</v>
      </c>
      <c r="L356">
        <v>181</v>
      </c>
      <c r="M356">
        <v>8</v>
      </c>
      <c r="N356">
        <v>7</v>
      </c>
      <c r="O356">
        <v>1</v>
      </c>
      <c r="P356">
        <v>36</v>
      </c>
      <c r="Q356">
        <v>36</v>
      </c>
      <c r="R356">
        <v>41</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row>
    <row r="357" spans="1:51" x14ac:dyDescent="0.3">
      <c r="A357" t="s">
        <v>364</v>
      </c>
      <c r="B357" t="s">
        <v>52</v>
      </c>
      <c r="C357" t="s">
        <v>443</v>
      </c>
      <c r="D357" t="s">
        <v>484</v>
      </c>
      <c r="E357" t="s">
        <v>55</v>
      </c>
      <c r="F357">
        <v>53</v>
      </c>
      <c r="G357">
        <v>0</v>
      </c>
      <c r="H357">
        <v>0</v>
      </c>
      <c r="I357">
        <v>53</v>
      </c>
      <c r="J357">
        <v>0</v>
      </c>
      <c r="K357">
        <v>49</v>
      </c>
      <c r="L357">
        <v>302</v>
      </c>
      <c r="M357">
        <v>0</v>
      </c>
      <c r="N357">
        <v>0</v>
      </c>
      <c r="O357">
        <v>0</v>
      </c>
      <c r="P357">
        <v>44</v>
      </c>
      <c r="Q357">
        <v>44</v>
      </c>
      <c r="R357">
        <v>41</v>
      </c>
      <c r="S357">
        <v>44</v>
      </c>
      <c r="T357">
        <v>0</v>
      </c>
      <c r="U357">
        <v>0</v>
      </c>
      <c r="V357">
        <v>0</v>
      </c>
      <c r="W357">
        <v>0</v>
      </c>
      <c r="X357">
        <v>9</v>
      </c>
      <c r="Y357">
        <v>0</v>
      </c>
      <c r="Z357">
        <v>0</v>
      </c>
      <c r="AA357">
        <v>0</v>
      </c>
      <c r="AB357">
        <v>1</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11</v>
      </c>
      <c r="AW357">
        <v>4</v>
      </c>
      <c r="AX357">
        <v>0</v>
      </c>
      <c r="AY357">
        <v>0</v>
      </c>
    </row>
    <row r="358" spans="1:51" x14ac:dyDescent="0.3">
      <c r="A358" t="s">
        <v>364</v>
      </c>
      <c r="B358" t="s">
        <v>52</v>
      </c>
      <c r="C358" t="s">
        <v>467</v>
      </c>
      <c r="D358" t="s">
        <v>485</v>
      </c>
      <c r="E358" t="s">
        <v>55</v>
      </c>
      <c r="F358">
        <v>32</v>
      </c>
      <c r="G358">
        <v>0</v>
      </c>
      <c r="H358">
        <v>0</v>
      </c>
      <c r="I358">
        <v>32</v>
      </c>
      <c r="J358">
        <v>0</v>
      </c>
      <c r="K358">
        <v>21</v>
      </c>
      <c r="L358">
        <v>136</v>
      </c>
      <c r="M358">
        <v>0</v>
      </c>
      <c r="N358">
        <v>0</v>
      </c>
      <c r="O358">
        <v>0</v>
      </c>
      <c r="P358">
        <v>31</v>
      </c>
      <c r="Q358">
        <v>31</v>
      </c>
      <c r="R358">
        <v>20</v>
      </c>
      <c r="S358">
        <v>32</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row>
    <row r="359" spans="1:51" x14ac:dyDescent="0.3">
      <c r="A359" t="s">
        <v>364</v>
      </c>
      <c r="B359" t="s">
        <v>52</v>
      </c>
      <c r="C359" t="s">
        <v>467</v>
      </c>
      <c r="D359" t="s">
        <v>486</v>
      </c>
      <c r="E359" t="s">
        <v>55</v>
      </c>
      <c r="F359">
        <v>15</v>
      </c>
      <c r="G359">
        <v>0</v>
      </c>
      <c r="H359">
        <v>0</v>
      </c>
      <c r="I359">
        <v>15</v>
      </c>
      <c r="J359">
        <v>0</v>
      </c>
      <c r="K359">
        <v>12</v>
      </c>
      <c r="L359">
        <v>81</v>
      </c>
      <c r="M359">
        <v>3</v>
      </c>
      <c r="N359">
        <v>1</v>
      </c>
      <c r="O359">
        <v>0</v>
      </c>
      <c r="P359">
        <v>18</v>
      </c>
      <c r="Q359">
        <v>18</v>
      </c>
      <c r="R359">
        <v>12</v>
      </c>
      <c r="S359">
        <v>16</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row>
    <row r="360" spans="1:51" x14ac:dyDescent="0.3">
      <c r="A360" t="s">
        <v>364</v>
      </c>
      <c r="B360" t="s">
        <v>52</v>
      </c>
      <c r="C360" t="s">
        <v>448</v>
      </c>
      <c r="D360" t="s">
        <v>487</v>
      </c>
      <c r="E360" t="s">
        <v>55</v>
      </c>
      <c r="F360">
        <v>54</v>
      </c>
      <c r="G360">
        <v>0</v>
      </c>
      <c r="H360">
        <v>0</v>
      </c>
      <c r="I360">
        <v>54</v>
      </c>
      <c r="J360">
        <v>0</v>
      </c>
      <c r="K360">
        <v>54</v>
      </c>
      <c r="L360">
        <v>333</v>
      </c>
      <c r="M360">
        <v>48</v>
      </c>
      <c r="N360">
        <v>34</v>
      </c>
      <c r="O360">
        <v>0</v>
      </c>
      <c r="P360">
        <v>45</v>
      </c>
      <c r="Q360">
        <v>45</v>
      </c>
      <c r="R360">
        <v>47</v>
      </c>
      <c r="S360">
        <v>4</v>
      </c>
      <c r="T360">
        <v>0</v>
      </c>
      <c r="U360">
        <v>0</v>
      </c>
      <c r="V360">
        <v>0</v>
      </c>
      <c r="W360">
        <v>0</v>
      </c>
      <c r="X360">
        <v>5</v>
      </c>
      <c r="Y360">
        <v>2</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4</v>
      </c>
      <c r="AW360">
        <v>0</v>
      </c>
      <c r="AX360">
        <v>0</v>
      </c>
      <c r="AY360">
        <v>0</v>
      </c>
    </row>
    <row r="361" spans="1:51" x14ac:dyDescent="0.3">
      <c r="A361" t="s">
        <v>364</v>
      </c>
      <c r="B361" t="s">
        <v>72</v>
      </c>
      <c r="C361" t="s">
        <v>443</v>
      </c>
      <c r="D361" t="s">
        <v>488</v>
      </c>
      <c r="E361" t="s">
        <v>55</v>
      </c>
      <c r="F361">
        <v>0</v>
      </c>
      <c r="G361">
        <v>0</v>
      </c>
      <c r="H361">
        <v>0</v>
      </c>
      <c r="I361">
        <v>0</v>
      </c>
      <c r="J361">
        <v>0</v>
      </c>
      <c r="K361">
        <v>0</v>
      </c>
      <c r="L361">
        <v>1156</v>
      </c>
      <c r="M361">
        <v>69</v>
      </c>
      <c r="N361">
        <v>70</v>
      </c>
      <c r="O361">
        <v>22</v>
      </c>
      <c r="P361">
        <v>221</v>
      </c>
      <c r="Q361">
        <v>84</v>
      </c>
      <c r="R361">
        <v>193</v>
      </c>
      <c r="S361">
        <v>186</v>
      </c>
      <c r="T361">
        <v>0</v>
      </c>
      <c r="U361">
        <v>2</v>
      </c>
      <c r="V361">
        <v>0</v>
      </c>
      <c r="W361">
        <v>0</v>
      </c>
      <c r="X361">
        <v>235</v>
      </c>
      <c r="Y361">
        <v>108</v>
      </c>
      <c r="Z361">
        <v>0</v>
      </c>
      <c r="AA361">
        <v>0</v>
      </c>
      <c r="AB361">
        <v>3</v>
      </c>
      <c r="AC361">
        <v>1</v>
      </c>
      <c r="AD361">
        <v>1</v>
      </c>
      <c r="AE361">
        <v>0</v>
      </c>
      <c r="AF361">
        <v>172</v>
      </c>
      <c r="AG361">
        <v>0</v>
      </c>
      <c r="AH361">
        <v>0</v>
      </c>
      <c r="AI361">
        <v>0</v>
      </c>
      <c r="AJ361">
        <v>0</v>
      </c>
      <c r="AK361">
        <v>0</v>
      </c>
      <c r="AL361">
        <v>0</v>
      </c>
      <c r="AM361">
        <v>0</v>
      </c>
      <c r="AN361">
        <v>2</v>
      </c>
      <c r="AO361">
        <v>0</v>
      </c>
      <c r="AP361">
        <v>0</v>
      </c>
      <c r="AQ361">
        <v>0</v>
      </c>
      <c r="AR361">
        <v>0</v>
      </c>
      <c r="AS361">
        <v>0</v>
      </c>
      <c r="AT361">
        <v>0</v>
      </c>
      <c r="AU361">
        <v>0</v>
      </c>
      <c r="AV361">
        <v>11</v>
      </c>
      <c r="AW361">
        <v>2</v>
      </c>
      <c r="AX361">
        <v>0</v>
      </c>
      <c r="AY361">
        <v>0</v>
      </c>
    </row>
    <row r="362" spans="1:51" x14ac:dyDescent="0.3">
      <c r="A362" t="s">
        <v>364</v>
      </c>
      <c r="B362" t="s">
        <v>72</v>
      </c>
      <c r="C362" t="s">
        <v>448</v>
      </c>
      <c r="D362" t="s">
        <v>489</v>
      </c>
      <c r="E362" t="s">
        <v>55</v>
      </c>
      <c r="F362">
        <v>0</v>
      </c>
      <c r="G362">
        <v>0</v>
      </c>
      <c r="H362">
        <v>0</v>
      </c>
      <c r="I362">
        <v>0</v>
      </c>
      <c r="J362">
        <v>0</v>
      </c>
      <c r="K362">
        <v>0</v>
      </c>
      <c r="L362">
        <v>856</v>
      </c>
      <c r="M362">
        <v>29</v>
      </c>
      <c r="N362">
        <v>21</v>
      </c>
      <c r="O362">
        <v>2</v>
      </c>
      <c r="P362">
        <v>94</v>
      </c>
      <c r="Q362">
        <v>102</v>
      </c>
      <c r="R362">
        <v>93</v>
      </c>
      <c r="S362">
        <v>108</v>
      </c>
      <c r="T362">
        <v>0</v>
      </c>
      <c r="U362">
        <v>0</v>
      </c>
      <c r="V362">
        <v>0</v>
      </c>
      <c r="W362">
        <v>0</v>
      </c>
      <c r="X362">
        <v>157</v>
      </c>
      <c r="Y362">
        <v>47</v>
      </c>
      <c r="Z362">
        <v>0</v>
      </c>
      <c r="AA362">
        <v>0</v>
      </c>
      <c r="AB362">
        <v>1</v>
      </c>
      <c r="AC362">
        <v>0</v>
      </c>
      <c r="AD362">
        <v>0</v>
      </c>
      <c r="AE362">
        <v>0</v>
      </c>
      <c r="AF362">
        <v>100</v>
      </c>
      <c r="AG362">
        <v>0</v>
      </c>
      <c r="AH362">
        <v>0</v>
      </c>
      <c r="AI362">
        <v>0</v>
      </c>
      <c r="AJ362">
        <v>0</v>
      </c>
      <c r="AK362">
        <v>0</v>
      </c>
      <c r="AL362">
        <v>0</v>
      </c>
      <c r="AM362">
        <v>0</v>
      </c>
      <c r="AN362">
        <v>0</v>
      </c>
      <c r="AO362">
        <v>0</v>
      </c>
      <c r="AP362">
        <v>0</v>
      </c>
      <c r="AQ362">
        <v>0</v>
      </c>
      <c r="AR362">
        <v>0</v>
      </c>
      <c r="AS362">
        <v>0</v>
      </c>
      <c r="AT362">
        <v>0</v>
      </c>
      <c r="AU362">
        <v>0</v>
      </c>
      <c r="AV362">
        <v>29</v>
      </c>
      <c r="AW362">
        <v>0</v>
      </c>
      <c r="AX362">
        <v>0</v>
      </c>
      <c r="AY362">
        <v>0</v>
      </c>
    </row>
    <row r="363" spans="1:51" x14ac:dyDescent="0.3">
      <c r="A363" t="s">
        <v>364</v>
      </c>
      <c r="B363" t="s">
        <v>72</v>
      </c>
      <c r="C363" t="s">
        <v>467</v>
      </c>
      <c r="D363" t="s">
        <v>490</v>
      </c>
      <c r="E363" t="s">
        <v>55</v>
      </c>
      <c r="F363">
        <v>0</v>
      </c>
      <c r="G363">
        <v>0</v>
      </c>
      <c r="H363">
        <v>0</v>
      </c>
      <c r="I363">
        <v>0</v>
      </c>
      <c r="J363">
        <v>0</v>
      </c>
      <c r="K363">
        <v>0</v>
      </c>
      <c r="L363">
        <v>130</v>
      </c>
      <c r="M363">
        <v>29</v>
      </c>
      <c r="N363">
        <v>31</v>
      </c>
      <c r="O363">
        <v>3</v>
      </c>
      <c r="P363">
        <v>0</v>
      </c>
      <c r="Q363">
        <v>0</v>
      </c>
      <c r="R363">
        <v>0</v>
      </c>
      <c r="S363">
        <v>0</v>
      </c>
      <c r="T363">
        <v>0</v>
      </c>
      <c r="U363">
        <v>0</v>
      </c>
      <c r="V363">
        <v>0</v>
      </c>
      <c r="W363">
        <v>0</v>
      </c>
      <c r="X363">
        <v>74</v>
      </c>
      <c r="Y363">
        <v>24</v>
      </c>
      <c r="Z363">
        <v>0</v>
      </c>
      <c r="AA363">
        <v>0</v>
      </c>
      <c r="AB363">
        <v>0</v>
      </c>
      <c r="AC363">
        <v>0</v>
      </c>
      <c r="AD363">
        <v>0</v>
      </c>
      <c r="AE363">
        <v>0</v>
      </c>
      <c r="AF363">
        <v>73</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row>
    <row r="364" spans="1:51" x14ac:dyDescent="0.3">
      <c r="A364" t="s">
        <v>364</v>
      </c>
      <c r="B364" t="s">
        <v>72</v>
      </c>
      <c r="C364" t="s">
        <v>445</v>
      </c>
      <c r="D364" t="s">
        <v>491</v>
      </c>
      <c r="E364" t="s">
        <v>55</v>
      </c>
      <c r="F364">
        <v>0</v>
      </c>
      <c r="G364">
        <v>0</v>
      </c>
      <c r="H364">
        <v>0</v>
      </c>
      <c r="I364">
        <v>0</v>
      </c>
      <c r="J364">
        <v>0</v>
      </c>
      <c r="K364">
        <v>0</v>
      </c>
      <c r="L364">
        <v>476</v>
      </c>
      <c r="M364">
        <v>66</v>
      </c>
      <c r="N364">
        <v>40</v>
      </c>
      <c r="O364">
        <v>16</v>
      </c>
      <c r="P364">
        <v>126</v>
      </c>
      <c r="Q364">
        <v>126</v>
      </c>
      <c r="R364">
        <v>59</v>
      </c>
      <c r="S364">
        <v>371</v>
      </c>
      <c r="T364">
        <v>0</v>
      </c>
      <c r="U364">
        <v>0</v>
      </c>
      <c r="V364">
        <v>0</v>
      </c>
      <c r="W364">
        <v>0</v>
      </c>
      <c r="X364">
        <v>116</v>
      </c>
      <c r="Y364">
        <v>50</v>
      </c>
      <c r="Z364">
        <v>0</v>
      </c>
      <c r="AA364">
        <v>0</v>
      </c>
      <c r="AB364">
        <v>0</v>
      </c>
      <c r="AC364">
        <v>0</v>
      </c>
      <c r="AD364">
        <v>0</v>
      </c>
      <c r="AE364">
        <v>0</v>
      </c>
      <c r="AF364">
        <v>41</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row>
    <row r="365" spans="1:51" x14ac:dyDescent="0.3">
      <c r="A365" t="s">
        <v>364</v>
      </c>
      <c r="B365" t="s">
        <v>74</v>
      </c>
      <c r="C365" t="s">
        <v>441</v>
      </c>
      <c r="D365" t="s">
        <v>492</v>
      </c>
      <c r="E365" t="s">
        <v>55</v>
      </c>
      <c r="F365">
        <v>0</v>
      </c>
      <c r="G365">
        <v>0</v>
      </c>
      <c r="H365">
        <v>0</v>
      </c>
      <c r="I365">
        <v>0</v>
      </c>
      <c r="J365">
        <v>0</v>
      </c>
      <c r="K365">
        <v>0</v>
      </c>
      <c r="L365">
        <v>156</v>
      </c>
      <c r="M365">
        <v>51</v>
      </c>
      <c r="N365">
        <v>51</v>
      </c>
      <c r="O365">
        <v>15</v>
      </c>
      <c r="P365">
        <v>59</v>
      </c>
      <c r="Q365">
        <v>59</v>
      </c>
      <c r="R365">
        <v>59</v>
      </c>
      <c r="S365">
        <v>64</v>
      </c>
      <c r="T365">
        <v>0</v>
      </c>
      <c r="U365">
        <v>0</v>
      </c>
      <c r="V365">
        <v>0</v>
      </c>
      <c r="W365">
        <v>0</v>
      </c>
      <c r="X365">
        <v>204</v>
      </c>
      <c r="Y365">
        <v>58</v>
      </c>
      <c r="Z365">
        <v>0</v>
      </c>
      <c r="AA365">
        <v>0</v>
      </c>
      <c r="AB365">
        <v>1</v>
      </c>
      <c r="AC365">
        <v>0</v>
      </c>
      <c r="AD365">
        <v>0</v>
      </c>
      <c r="AE365">
        <v>0</v>
      </c>
      <c r="AF365">
        <v>168</v>
      </c>
      <c r="AG365">
        <v>0</v>
      </c>
      <c r="AH365">
        <v>0</v>
      </c>
      <c r="AI365">
        <v>0</v>
      </c>
      <c r="AJ365">
        <v>0</v>
      </c>
      <c r="AK365">
        <v>0</v>
      </c>
      <c r="AL365">
        <v>0</v>
      </c>
      <c r="AM365">
        <v>0</v>
      </c>
      <c r="AN365">
        <v>1</v>
      </c>
      <c r="AO365">
        <v>0</v>
      </c>
      <c r="AP365">
        <v>0</v>
      </c>
      <c r="AQ365">
        <v>0</v>
      </c>
      <c r="AR365">
        <v>0</v>
      </c>
      <c r="AS365">
        <v>0</v>
      </c>
      <c r="AT365">
        <v>0</v>
      </c>
      <c r="AU365">
        <v>0</v>
      </c>
      <c r="AV365">
        <v>0</v>
      </c>
      <c r="AW365">
        <v>0</v>
      </c>
      <c r="AX365">
        <v>0</v>
      </c>
      <c r="AY365">
        <v>0</v>
      </c>
    </row>
    <row r="366" spans="1:51" x14ac:dyDescent="0.3">
      <c r="A366" t="s">
        <v>364</v>
      </c>
      <c r="B366" t="s">
        <v>52</v>
      </c>
      <c r="C366" t="s">
        <v>493</v>
      </c>
      <c r="D366" t="s">
        <v>494</v>
      </c>
      <c r="E366" t="s">
        <v>55</v>
      </c>
      <c r="F366">
        <v>108</v>
      </c>
      <c r="G366">
        <v>0</v>
      </c>
      <c r="H366">
        <v>0</v>
      </c>
      <c r="I366">
        <v>108</v>
      </c>
      <c r="J366">
        <v>0</v>
      </c>
      <c r="K366">
        <v>103</v>
      </c>
      <c r="L366">
        <v>635</v>
      </c>
      <c r="M366">
        <v>15</v>
      </c>
      <c r="N366">
        <v>13</v>
      </c>
      <c r="O366">
        <v>3</v>
      </c>
      <c r="P366">
        <v>92</v>
      </c>
      <c r="Q366">
        <v>92</v>
      </c>
      <c r="R366">
        <v>82</v>
      </c>
      <c r="S366">
        <v>0</v>
      </c>
      <c r="T366">
        <v>0</v>
      </c>
      <c r="U366">
        <v>1</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9</v>
      </c>
      <c r="AQ366">
        <v>0</v>
      </c>
      <c r="AR366">
        <v>0</v>
      </c>
      <c r="AS366">
        <v>0</v>
      </c>
      <c r="AT366">
        <v>0</v>
      </c>
      <c r="AU366">
        <v>0</v>
      </c>
      <c r="AV366">
        <v>0</v>
      </c>
      <c r="AW366">
        <v>0</v>
      </c>
      <c r="AX366">
        <v>0</v>
      </c>
      <c r="AY366">
        <v>0</v>
      </c>
    </row>
    <row r="367" spans="1:51" x14ac:dyDescent="0.3">
      <c r="A367" t="s">
        <v>364</v>
      </c>
      <c r="B367" t="s">
        <v>52</v>
      </c>
      <c r="C367" t="s">
        <v>495</v>
      </c>
      <c r="D367" t="s">
        <v>496</v>
      </c>
      <c r="E367" t="s">
        <v>55</v>
      </c>
      <c r="F367">
        <v>45</v>
      </c>
      <c r="G367">
        <v>0</v>
      </c>
      <c r="H367">
        <v>0</v>
      </c>
      <c r="I367">
        <v>45</v>
      </c>
      <c r="J367">
        <v>0</v>
      </c>
      <c r="K367">
        <v>45</v>
      </c>
      <c r="L367">
        <v>258</v>
      </c>
      <c r="M367">
        <v>9</v>
      </c>
      <c r="N367">
        <v>5</v>
      </c>
      <c r="O367">
        <v>1</v>
      </c>
      <c r="P367">
        <v>41</v>
      </c>
      <c r="Q367">
        <v>39</v>
      </c>
      <c r="R367">
        <v>33</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row>
    <row r="368" spans="1:51" x14ac:dyDescent="0.3">
      <c r="A368" t="s">
        <v>364</v>
      </c>
      <c r="B368" t="s">
        <v>52</v>
      </c>
      <c r="C368" t="s">
        <v>453</v>
      </c>
      <c r="D368" t="s">
        <v>497</v>
      </c>
      <c r="E368" t="s">
        <v>55</v>
      </c>
      <c r="F368">
        <v>32</v>
      </c>
      <c r="G368">
        <v>0</v>
      </c>
      <c r="H368">
        <v>0</v>
      </c>
      <c r="I368">
        <v>32</v>
      </c>
      <c r="J368">
        <v>0</v>
      </c>
      <c r="K368">
        <v>32</v>
      </c>
      <c r="L368">
        <v>78</v>
      </c>
      <c r="M368">
        <v>2</v>
      </c>
      <c r="N368">
        <v>3</v>
      </c>
      <c r="O368">
        <v>0</v>
      </c>
      <c r="P368">
        <v>24</v>
      </c>
      <c r="Q368">
        <v>24</v>
      </c>
      <c r="R368">
        <v>31</v>
      </c>
      <c r="S368">
        <v>0</v>
      </c>
      <c r="T368">
        <v>0</v>
      </c>
      <c r="U368">
        <v>0</v>
      </c>
      <c r="V368">
        <v>0</v>
      </c>
      <c r="W368">
        <v>0</v>
      </c>
      <c r="X368">
        <v>10</v>
      </c>
      <c r="Y368">
        <v>0</v>
      </c>
      <c r="Z368">
        <v>0</v>
      </c>
      <c r="AA368">
        <v>0</v>
      </c>
      <c r="AB368">
        <v>0</v>
      </c>
      <c r="AC368">
        <v>0</v>
      </c>
      <c r="AD368">
        <v>0</v>
      </c>
      <c r="AE368">
        <v>0</v>
      </c>
      <c r="AF368">
        <v>0</v>
      </c>
      <c r="AG368">
        <v>0</v>
      </c>
      <c r="AH368">
        <v>0</v>
      </c>
      <c r="AI368">
        <v>0</v>
      </c>
      <c r="AJ368">
        <v>0</v>
      </c>
      <c r="AK368">
        <v>0</v>
      </c>
      <c r="AL368">
        <v>0</v>
      </c>
      <c r="AM368">
        <v>0</v>
      </c>
      <c r="AN368">
        <v>70</v>
      </c>
      <c r="AO368">
        <v>0</v>
      </c>
      <c r="AP368">
        <v>0</v>
      </c>
      <c r="AQ368">
        <v>0</v>
      </c>
      <c r="AR368">
        <v>0</v>
      </c>
      <c r="AS368">
        <v>0</v>
      </c>
      <c r="AT368">
        <v>0</v>
      </c>
      <c r="AU368">
        <v>0</v>
      </c>
      <c r="AV368">
        <v>1</v>
      </c>
      <c r="AW368">
        <v>0</v>
      </c>
      <c r="AX368">
        <v>0</v>
      </c>
      <c r="AY368">
        <v>0</v>
      </c>
    </row>
    <row r="369" spans="1:51" x14ac:dyDescent="0.3">
      <c r="A369" t="s">
        <v>364</v>
      </c>
      <c r="B369" t="s">
        <v>52</v>
      </c>
      <c r="C369" t="s">
        <v>493</v>
      </c>
      <c r="D369" t="s">
        <v>498</v>
      </c>
      <c r="E369" t="s">
        <v>55</v>
      </c>
      <c r="F369">
        <v>27</v>
      </c>
      <c r="G369">
        <v>0</v>
      </c>
      <c r="H369">
        <v>0</v>
      </c>
      <c r="I369">
        <v>27</v>
      </c>
      <c r="J369">
        <v>0</v>
      </c>
      <c r="K369">
        <v>26</v>
      </c>
      <c r="L369">
        <v>135</v>
      </c>
      <c r="M369">
        <v>2</v>
      </c>
      <c r="N369">
        <v>5</v>
      </c>
      <c r="O369">
        <v>0</v>
      </c>
      <c r="P369">
        <v>31</v>
      </c>
      <c r="Q369">
        <v>17</v>
      </c>
      <c r="R369">
        <v>24</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row>
    <row r="370" spans="1:51" x14ac:dyDescent="0.3">
      <c r="A370" t="s">
        <v>364</v>
      </c>
      <c r="B370" t="s">
        <v>52</v>
      </c>
      <c r="C370" t="s">
        <v>499</v>
      </c>
      <c r="D370" t="s">
        <v>500</v>
      </c>
      <c r="E370" t="s">
        <v>55</v>
      </c>
      <c r="F370">
        <v>22</v>
      </c>
      <c r="G370">
        <v>0</v>
      </c>
      <c r="H370">
        <v>0</v>
      </c>
      <c r="I370">
        <v>22</v>
      </c>
      <c r="J370">
        <v>0</v>
      </c>
      <c r="K370">
        <v>22</v>
      </c>
      <c r="L370">
        <v>131</v>
      </c>
      <c r="M370">
        <v>2</v>
      </c>
      <c r="N370">
        <v>3</v>
      </c>
      <c r="O370">
        <v>0</v>
      </c>
      <c r="P370">
        <v>27</v>
      </c>
      <c r="Q370">
        <v>27</v>
      </c>
      <c r="R370">
        <v>22</v>
      </c>
      <c r="S370">
        <v>1</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4</v>
      </c>
      <c r="AO370">
        <v>0</v>
      </c>
      <c r="AP370">
        <v>0</v>
      </c>
      <c r="AQ370">
        <v>0</v>
      </c>
      <c r="AR370">
        <v>0</v>
      </c>
      <c r="AS370">
        <v>0</v>
      </c>
      <c r="AT370">
        <v>0</v>
      </c>
      <c r="AU370">
        <v>0</v>
      </c>
      <c r="AV370">
        <v>13</v>
      </c>
      <c r="AW370">
        <v>0</v>
      </c>
      <c r="AX370">
        <v>0</v>
      </c>
      <c r="AY370">
        <v>0</v>
      </c>
    </row>
    <row r="371" spans="1:51" x14ac:dyDescent="0.3">
      <c r="A371" t="s">
        <v>364</v>
      </c>
      <c r="B371" t="s">
        <v>52</v>
      </c>
      <c r="C371" t="s">
        <v>499</v>
      </c>
      <c r="D371" t="s">
        <v>501</v>
      </c>
      <c r="E371" t="s">
        <v>55</v>
      </c>
      <c r="F371">
        <v>27</v>
      </c>
      <c r="G371">
        <v>0</v>
      </c>
      <c r="H371">
        <v>0</v>
      </c>
      <c r="I371">
        <v>27</v>
      </c>
      <c r="J371">
        <v>0</v>
      </c>
      <c r="K371">
        <v>27</v>
      </c>
      <c r="L371">
        <v>125</v>
      </c>
      <c r="M371">
        <v>5</v>
      </c>
      <c r="N371">
        <v>2</v>
      </c>
      <c r="O371">
        <v>0</v>
      </c>
      <c r="P371">
        <v>18</v>
      </c>
      <c r="Q371">
        <v>18</v>
      </c>
      <c r="R371">
        <v>3</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5</v>
      </c>
      <c r="AW371">
        <v>0</v>
      </c>
      <c r="AX371">
        <v>0</v>
      </c>
      <c r="AY371">
        <v>0</v>
      </c>
    </row>
    <row r="372" spans="1:51" x14ac:dyDescent="0.3">
      <c r="A372" t="s">
        <v>364</v>
      </c>
      <c r="B372" t="s">
        <v>52</v>
      </c>
      <c r="C372" t="s">
        <v>428</v>
      </c>
      <c r="D372" t="s">
        <v>502</v>
      </c>
      <c r="E372" t="s">
        <v>55</v>
      </c>
      <c r="F372">
        <v>20</v>
      </c>
      <c r="G372">
        <v>0</v>
      </c>
      <c r="H372">
        <v>0</v>
      </c>
      <c r="I372">
        <v>20</v>
      </c>
      <c r="J372">
        <v>0</v>
      </c>
      <c r="K372">
        <v>17</v>
      </c>
      <c r="L372">
        <v>77</v>
      </c>
      <c r="M372">
        <v>3</v>
      </c>
      <c r="N372">
        <v>1</v>
      </c>
      <c r="O372">
        <v>0</v>
      </c>
      <c r="P372">
        <v>23</v>
      </c>
      <c r="Q372">
        <v>14</v>
      </c>
      <c r="R372">
        <v>15</v>
      </c>
      <c r="S372">
        <v>5</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row>
    <row r="373" spans="1:51" x14ac:dyDescent="0.3">
      <c r="A373" t="s">
        <v>364</v>
      </c>
      <c r="B373" t="s">
        <v>52</v>
      </c>
      <c r="C373" t="s">
        <v>428</v>
      </c>
      <c r="D373" t="s">
        <v>503</v>
      </c>
      <c r="E373" t="s">
        <v>55</v>
      </c>
      <c r="F373">
        <v>9</v>
      </c>
      <c r="G373">
        <v>0</v>
      </c>
      <c r="H373">
        <v>0</v>
      </c>
      <c r="I373">
        <v>9</v>
      </c>
      <c r="J373">
        <v>0</v>
      </c>
      <c r="K373">
        <v>9</v>
      </c>
      <c r="L373">
        <v>59</v>
      </c>
      <c r="M373">
        <v>3</v>
      </c>
      <c r="N373">
        <v>3</v>
      </c>
      <c r="O373">
        <v>0</v>
      </c>
      <c r="P373">
        <v>11</v>
      </c>
      <c r="Q373">
        <v>7</v>
      </c>
      <c r="R373">
        <v>11</v>
      </c>
      <c r="S373">
        <v>5</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5</v>
      </c>
      <c r="AO373">
        <v>0</v>
      </c>
      <c r="AP373">
        <v>0</v>
      </c>
      <c r="AQ373">
        <v>0</v>
      </c>
      <c r="AR373">
        <v>0</v>
      </c>
      <c r="AS373">
        <v>0</v>
      </c>
      <c r="AT373">
        <v>0</v>
      </c>
      <c r="AU373">
        <v>0</v>
      </c>
      <c r="AV373">
        <v>0</v>
      </c>
      <c r="AW373">
        <v>0</v>
      </c>
      <c r="AX373">
        <v>0</v>
      </c>
      <c r="AY373">
        <v>0</v>
      </c>
    </row>
    <row r="374" spans="1:51" x14ac:dyDescent="0.3">
      <c r="A374" t="s">
        <v>364</v>
      </c>
      <c r="B374" t="s">
        <v>52</v>
      </c>
      <c r="C374" t="s">
        <v>448</v>
      </c>
      <c r="D374" t="s">
        <v>504</v>
      </c>
      <c r="E374" t="s">
        <v>55</v>
      </c>
      <c r="F374">
        <v>17</v>
      </c>
      <c r="G374">
        <v>0</v>
      </c>
      <c r="H374">
        <v>0</v>
      </c>
      <c r="I374">
        <v>17</v>
      </c>
      <c r="J374">
        <v>0</v>
      </c>
      <c r="K374">
        <v>13</v>
      </c>
      <c r="L374">
        <v>89</v>
      </c>
      <c r="M374">
        <v>0</v>
      </c>
      <c r="N374">
        <v>1</v>
      </c>
      <c r="O374">
        <v>0</v>
      </c>
      <c r="P374">
        <v>16</v>
      </c>
      <c r="Q374">
        <v>16</v>
      </c>
      <c r="R374">
        <v>8</v>
      </c>
      <c r="S374">
        <v>7</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row>
    <row r="375" spans="1:51" x14ac:dyDescent="0.3">
      <c r="A375" t="s">
        <v>364</v>
      </c>
      <c r="B375" t="s">
        <v>52</v>
      </c>
      <c r="C375" t="s">
        <v>428</v>
      </c>
      <c r="D375" t="s">
        <v>505</v>
      </c>
      <c r="E375" t="s">
        <v>55</v>
      </c>
      <c r="F375">
        <v>29</v>
      </c>
      <c r="G375">
        <v>0</v>
      </c>
      <c r="H375">
        <v>0</v>
      </c>
      <c r="I375">
        <v>29</v>
      </c>
      <c r="J375">
        <v>0</v>
      </c>
      <c r="K375">
        <v>29</v>
      </c>
      <c r="L375">
        <v>181</v>
      </c>
      <c r="M375">
        <v>8</v>
      </c>
      <c r="N375">
        <v>1</v>
      </c>
      <c r="O375">
        <v>0</v>
      </c>
      <c r="P375">
        <v>21</v>
      </c>
      <c r="Q375">
        <v>10</v>
      </c>
      <c r="R375">
        <v>19</v>
      </c>
      <c r="S375">
        <v>12</v>
      </c>
      <c r="T375">
        <v>0</v>
      </c>
      <c r="U375">
        <v>0</v>
      </c>
      <c r="V375">
        <v>0</v>
      </c>
      <c r="W375">
        <v>0</v>
      </c>
      <c r="X375">
        <v>2</v>
      </c>
      <c r="Y375">
        <v>0</v>
      </c>
      <c r="Z375">
        <v>0</v>
      </c>
      <c r="AA375">
        <v>0</v>
      </c>
      <c r="AB375">
        <v>0</v>
      </c>
      <c r="AC375">
        <v>0</v>
      </c>
      <c r="AD375">
        <v>0</v>
      </c>
      <c r="AE375">
        <v>0</v>
      </c>
      <c r="AF375">
        <v>0</v>
      </c>
      <c r="AG375">
        <v>0</v>
      </c>
      <c r="AH375">
        <v>0</v>
      </c>
      <c r="AI375">
        <v>0</v>
      </c>
      <c r="AJ375">
        <v>0</v>
      </c>
      <c r="AK375">
        <v>0</v>
      </c>
      <c r="AL375">
        <v>0</v>
      </c>
      <c r="AM375">
        <v>0</v>
      </c>
      <c r="AN375">
        <v>24</v>
      </c>
      <c r="AO375">
        <v>0</v>
      </c>
      <c r="AP375">
        <v>0</v>
      </c>
      <c r="AQ375">
        <v>0</v>
      </c>
      <c r="AR375">
        <v>0</v>
      </c>
      <c r="AS375">
        <v>0</v>
      </c>
      <c r="AT375">
        <v>0</v>
      </c>
      <c r="AU375">
        <v>0</v>
      </c>
      <c r="AV375">
        <v>0</v>
      </c>
      <c r="AW375">
        <v>0</v>
      </c>
      <c r="AX375">
        <v>0</v>
      </c>
      <c r="AY375">
        <v>0</v>
      </c>
    </row>
    <row r="376" spans="1:51" x14ac:dyDescent="0.3">
      <c r="A376" t="s">
        <v>364</v>
      </c>
      <c r="B376" t="s">
        <v>52</v>
      </c>
      <c r="C376" t="s">
        <v>499</v>
      </c>
      <c r="D376" t="s">
        <v>506</v>
      </c>
      <c r="E376" t="s">
        <v>55</v>
      </c>
      <c r="F376">
        <v>36</v>
      </c>
      <c r="G376">
        <v>0</v>
      </c>
      <c r="H376">
        <v>0</v>
      </c>
      <c r="I376">
        <v>36</v>
      </c>
      <c r="J376">
        <v>0</v>
      </c>
      <c r="K376">
        <v>36</v>
      </c>
      <c r="L376">
        <v>108</v>
      </c>
      <c r="M376">
        <v>1</v>
      </c>
      <c r="N376">
        <v>0</v>
      </c>
      <c r="O376">
        <v>0</v>
      </c>
      <c r="P376">
        <v>33</v>
      </c>
      <c r="Q376">
        <v>56</v>
      </c>
      <c r="R376">
        <v>3</v>
      </c>
      <c r="S376">
        <v>2</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16</v>
      </c>
      <c r="AW376">
        <v>0</v>
      </c>
      <c r="AX376">
        <v>0</v>
      </c>
      <c r="AY376">
        <v>0</v>
      </c>
    </row>
    <row r="377" spans="1:51" x14ac:dyDescent="0.3">
      <c r="A377" t="s">
        <v>364</v>
      </c>
      <c r="B377" t="s">
        <v>52</v>
      </c>
      <c r="C377" t="s">
        <v>493</v>
      </c>
      <c r="D377" t="s">
        <v>507</v>
      </c>
      <c r="E377" t="s">
        <v>55</v>
      </c>
      <c r="F377">
        <v>49</v>
      </c>
      <c r="G377">
        <v>0</v>
      </c>
      <c r="H377">
        <v>0</v>
      </c>
      <c r="I377">
        <v>49</v>
      </c>
      <c r="J377">
        <v>0</v>
      </c>
      <c r="K377">
        <v>49</v>
      </c>
      <c r="L377">
        <v>259</v>
      </c>
      <c r="M377">
        <v>2</v>
      </c>
      <c r="N377">
        <v>5</v>
      </c>
      <c r="O377">
        <v>0</v>
      </c>
      <c r="P377">
        <v>29</v>
      </c>
      <c r="Q377">
        <v>11</v>
      </c>
      <c r="R377">
        <v>36</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row>
    <row r="378" spans="1:51" x14ac:dyDescent="0.3">
      <c r="A378" t="s">
        <v>364</v>
      </c>
      <c r="B378" t="s">
        <v>52</v>
      </c>
      <c r="C378" t="s">
        <v>493</v>
      </c>
      <c r="D378" t="s">
        <v>508</v>
      </c>
      <c r="E378" t="s">
        <v>55</v>
      </c>
      <c r="F378">
        <v>67</v>
      </c>
      <c r="G378">
        <v>0</v>
      </c>
      <c r="H378">
        <v>0</v>
      </c>
      <c r="I378">
        <v>67</v>
      </c>
      <c r="J378">
        <v>0</v>
      </c>
      <c r="K378">
        <v>67</v>
      </c>
      <c r="L378">
        <v>400</v>
      </c>
      <c r="M378">
        <v>9</v>
      </c>
      <c r="N378">
        <v>12</v>
      </c>
      <c r="O378">
        <v>2</v>
      </c>
      <c r="P378">
        <v>49</v>
      </c>
      <c r="Q378">
        <v>10</v>
      </c>
      <c r="R378">
        <v>67</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row>
    <row r="379" spans="1:51" x14ac:dyDescent="0.3">
      <c r="A379" t="s">
        <v>364</v>
      </c>
      <c r="B379" t="s">
        <v>52</v>
      </c>
      <c r="C379" t="s">
        <v>493</v>
      </c>
      <c r="D379" t="s">
        <v>509</v>
      </c>
      <c r="E379" t="s">
        <v>55</v>
      </c>
      <c r="F379">
        <v>26</v>
      </c>
      <c r="G379">
        <v>0</v>
      </c>
      <c r="H379">
        <v>0</v>
      </c>
      <c r="I379">
        <v>26</v>
      </c>
      <c r="J379">
        <v>0</v>
      </c>
      <c r="K379">
        <v>26</v>
      </c>
      <c r="L379">
        <v>136</v>
      </c>
      <c r="M379">
        <v>0</v>
      </c>
      <c r="N379">
        <v>0</v>
      </c>
      <c r="O379">
        <v>0</v>
      </c>
      <c r="P379">
        <v>19</v>
      </c>
      <c r="Q379">
        <v>10</v>
      </c>
      <c r="R379">
        <v>23</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row>
    <row r="380" spans="1:51" x14ac:dyDescent="0.3">
      <c r="A380" t="s">
        <v>364</v>
      </c>
      <c r="B380" t="s">
        <v>52</v>
      </c>
      <c r="C380" t="s">
        <v>510</v>
      </c>
      <c r="D380" t="s">
        <v>511</v>
      </c>
      <c r="E380" t="s">
        <v>55</v>
      </c>
      <c r="F380">
        <v>41</v>
      </c>
      <c r="G380">
        <v>0</v>
      </c>
      <c r="H380">
        <v>0</v>
      </c>
      <c r="I380">
        <v>41</v>
      </c>
      <c r="J380">
        <v>0</v>
      </c>
      <c r="K380">
        <v>36</v>
      </c>
      <c r="L380">
        <v>78</v>
      </c>
      <c r="M380">
        <v>0</v>
      </c>
      <c r="N380">
        <v>0</v>
      </c>
      <c r="O380">
        <v>0</v>
      </c>
      <c r="P380">
        <v>32</v>
      </c>
      <c r="Q380">
        <v>32</v>
      </c>
      <c r="R380">
        <v>34</v>
      </c>
      <c r="S380">
        <v>0</v>
      </c>
      <c r="T380">
        <v>0</v>
      </c>
      <c r="U380">
        <v>0</v>
      </c>
      <c r="V380">
        <v>0</v>
      </c>
      <c r="W380">
        <v>0</v>
      </c>
      <c r="X380">
        <v>26</v>
      </c>
      <c r="Y380">
        <v>4</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row>
    <row r="381" spans="1:51" x14ac:dyDescent="0.3">
      <c r="A381" t="s">
        <v>364</v>
      </c>
      <c r="B381" t="s">
        <v>52</v>
      </c>
      <c r="C381" t="s">
        <v>510</v>
      </c>
      <c r="D381" t="s">
        <v>512</v>
      </c>
      <c r="E381" t="s">
        <v>55</v>
      </c>
      <c r="F381">
        <v>32</v>
      </c>
      <c r="G381">
        <v>0</v>
      </c>
      <c r="H381">
        <v>0</v>
      </c>
      <c r="I381">
        <v>32</v>
      </c>
      <c r="J381">
        <v>0</v>
      </c>
      <c r="K381">
        <v>32</v>
      </c>
      <c r="L381">
        <v>75</v>
      </c>
      <c r="M381">
        <v>1</v>
      </c>
      <c r="N381">
        <v>4</v>
      </c>
      <c r="O381">
        <v>1</v>
      </c>
      <c r="P381">
        <v>27</v>
      </c>
      <c r="Q381">
        <v>27</v>
      </c>
      <c r="R381">
        <v>31</v>
      </c>
      <c r="S381">
        <v>0</v>
      </c>
      <c r="T381">
        <v>0</v>
      </c>
      <c r="U381">
        <v>0</v>
      </c>
      <c r="V381">
        <v>0</v>
      </c>
      <c r="W381">
        <v>0</v>
      </c>
      <c r="X381">
        <v>24</v>
      </c>
      <c r="Y381">
        <v>3</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row>
    <row r="382" spans="1:51" x14ac:dyDescent="0.3">
      <c r="A382" t="s">
        <v>364</v>
      </c>
      <c r="B382" t="s">
        <v>52</v>
      </c>
      <c r="C382" t="s">
        <v>499</v>
      </c>
      <c r="D382" t="s">
        <v>513</v>
      </c>
      <c r="E382" t="s">
        <v>55</v>
      </c>
      <c r="F382">
        <v>45</v>
      </c>
      <c r="G382">
        <v>0</v>
      </c>
      <c r="H382">
        <v>0</v>
      </c>
      <c r="I382">
        <v>45</v>
      </c>
      <c r="J382">
        <v>0</v>
      </c>
      <c r="K382">
        <v>45</v>
      </c>
      <c r="L382">
        <v>168</v>
      </c>
      <c r="M382">
        <v>0</v>
      </c>
      <c r="N382">
        <v>0</v>
      </c>
      <c r="O382">
        <v>0</v>
      </c>
      <c r="P382">
        <v>26</v>
      </c>
      <c r="Q382">
        <v>26</v>
      </c>
      <c r="R382">
        <v>20</v>
      </c>
      <c r="S382">
        <v>18</v>
      </c>
      <c r="T382">
        <v>3</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2</v>
      </c>
      <c r="AO382">
        <v>2</v>
      </c>
      <c r="AP382">
        <v>0</v>
      </c>
      <c r="AQ382">
        <v>0</v>
      </c>
      <c r="AR382">
        <v>0</v>
      </c>
      <c r="AS382">
        <v>0</v>
      </c>
      <c r="AT382">
        <v>0</v>
      </c>
      <c r="AU382">
        <v>0</v>
      </c>
      <c r="AV382">
        <v>1</v>
      </c>
      <c r="AW382">
        <v>0</v>
      </c>
      <c r="AX382">
        <v>0</v>
      </c>
      <c r="AY382">
        <v>0</v>
      </c>
    </row>
    <row r="383" spans="1:51" x14ac:dyDescent="0.3">
      <c r="A383" t="s">
        <v>364</v>
      </c>
      <c r="B383" t="s">
        <v>52</v>
      </c>
      <c r="C383" t="s">
        <v>514</v>
      </c>
      <c r="D383" t="s">
        <v>515</v>
      </c>
      <c r="E383" t="s">
        <v>55</v>
      </c>
      <c r="F383">
        <v>37</v>
      </c>
      <c r="G383">
        <v>0</v>
      </c>
      <c r="H383">
        <v>0</v>
      </c>
      <c r="I383">
        <v>37</v>
      </c>
      <c r="J383">
        <v>0</v>
      </c>
      <c r="K383">
        <v>37</v>
      </c>
      <c r="L383">
        <v>37</v>
      </c>
      <c r="M383">
        <v>6</v>
      </c>
      <c r="N383">
        <v>4</v>
      </c>
      <c r="O383">
        <v>0</v>
      </c>
      <c r="P383">
        <v>28</v>
      </c>
      <c r="Q383">
        <v>28</v>
      </c>
      <c r="R383">
        <v>25</v>
      </c>
      <c r="S383">
        <v>16</v>
      </c>
      <c r="T383">
        <v>2</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row>
    <row r="384" spans="1:51" x14ac:dyDescent="0.3">
      <c r="A384" t="s">
        <v>364</v>
      </c>
      <c r="B384" t="s">
        <v>52</v>
      </c>
      <c r="C384" t="s">
        <v>514</v>
      </c>
      <c r="D384" t="s">
        <v>516</v>
      </c>
      <c r="E384" t="s">
        <v>55</v>
      </c>
      <c r="F384">
        <v>17</v>
      </c>
      <c r="G384">
        <v>0</v>
      </c>
      <c r="H384">
        <v>0</v>
      </c>
      <c r="I384">
        <v>17</v>
      </c>
      <c r="J384">
        <v>0</v>
      </c>
      <c r="K384">
        <v>17</v>
      </c>
      <c r="L384">
        <v>17</v>
      </c>
      <c r="M384">
        <v>1</v>
      </c>
      <c r="N384">
        <v>3</v>
      </c>
      <c r="O384">
        <v>0</v>
      </c>
      <c r="P384">
        <v>13</v>
      </c>
      <c r="Q384">
        <v>11</v>
      </c>
      <c r="R384">
        <v>12</v>
      </c>
      <c r="S384">
        <v>14</v>
      </c>
      <c r="T384">
        <v>0</v>
      </c>
      <c r="U384">
        <v>1</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row>
    <row r="385" spans="1:51" x14ac:dyDescent="0.3">
      <c r="A385" t="s">
        <v>364</v>
      </c>
      <c r="B385" t="s">
        <v>52</v>
      </c>
      <c r="C385" t="s">
        <v>499</v>
      </c>
      <c r="D385" t="s">
        <v>517</v>
      </c>
      <c r="E385" t="s">
        <v>55</v>
      </c>
      <c r="F385">
        <v>23</v>
      </c>
      <c r="G385">
        <v>0</v>
      </c>
      <c r="H385">
        <v>0</v>
      </c>
      <c r="I385">
        <v>23</v>
      </c>
      <c r="J385">
        <v>0</v>
      </c>
      <c r="K385">
        <v>23</v>
      </c>
      <c r="L385">
        <v>121</v>
      </c>
      <c r="M385">
        <v>6</v>
      </c>
      <c r="N385">
        <v>9</v>
      </c>
      <c r="O385">
        <v>1</v>
      </c>
      <c r="P385">
        <v>23</v>
      </c>
      <c r="Q385">
        <v>23</v>
      </c>
      <c r="R385">
        <v>17</v>
      </c>
      <c r="S385">
        <v>3</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2</v>
      </c>
      <c r="AO385">
        <v>0</v>
      </c>
      <c r="AP385">
        <v>0</v>
      </c>
      <c r="AQ385">
        <v>0</v>
      </c>
      <c r="AR385">
        <v>0</v>
      </c>
      <c r="AS385">
        <v>0</v>
      </c>
      <c r="AT385">
        <v>0</v>
      </c>
      <c r="AU385">
        <v>0</v>
      </c>
      <c r="AV385">
        <v>5</v>
      </c>
      <c r="AW385">
        <v>0</v>
      </c>
      <c r="AX385">
        <v>0</v>
      </c>
      <c r="AY385">
        <v>0</v>
      </c>
    </row>
    <row r="386" spans="1:51" x14ac:dyDescent="0.3">
      <c r="A386" t="s">
        <v>364</v>
      </c>
      <c r="B386" t="s">
        <v>52</v>
      </c>
      <c r="C386" t="s">
        <v>518</v>
      </c>
      <c r="D386" t="s">
        <v>519</v>
      </c>
      <c r="E386" t="s">
        <v>55</v>
      </c>
      <c r="F386">
        <v>43</v>
      </c>
      <c r="G386">
        <v>0</v>
      </c>
      <c r="H386">
        <v>0</v>
      </c>
      <c r="I386">
        <v>43</v>
      </c>
      <c r="J386">
        <v>0</v>
      </c>
      <c r="K386">
        <v>43</v>
      </c>
      <c r="L386">
        <v>280</v>
      </c>
      <c r="M386">
        <v>3</v>
      </c>
      <c r="N386">
        <v>1</v>
      </c>
      <c r="O386">
        <v>1</v>
      </c>
      <c r="P386">
        <v>65</v>
      </c>
      <c r="Q386">
        <v>19</v>
      </c>
      <c r="R386">
        <v>39</v>
      </c>
      <c r="S386">
        <v>38</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row>
    <row r="387" spans="1:51" x14ac:dyDescent="0.3">
      <c r="A387" t="s">
        <v>364</v>
      </c>
      <c r="B387" t="s">
        <v>52</v>
      </c>
      <c r="C387" t="s">
        <v>499</v>
      </c>
      <c r="D387" t="s">
        <v>520</v>
      </c>
      <c r="E387" t="s">
        <v>55</v>
      </c>
      <c r="F387">
        <v>51</v>
      </c>
      <c r="G387">
        <v>0</v>
      </c>
      <c r="H387">
        <v>5</v>
      </c>
      <c r="I387">
        <v>46</v>
      </c>
      <c r="J387">
        <v>0</v>
      </c>
      <c r="K387">
        <v>51</v>
      </c>
      <c r="L387">
        <v>210</v>
      </c>
      <c r="M387">
        <v>13</v>
      </c>
      <c r="N387">
        <v>6</v>
      </c>
      <c r="O387">
        <v>1</v>
      </c>
      <c r="P387">
        <v>41</v>
      </c>
      <c r="Q387">
        <v>41</v>
      </c>
      <c r="R387">
        <v>4</v>
      </c>
      <c r="S387">
        <v>4</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10</v>
      </c>
      <c r="AW387">
        <v>0</v>
      </c>
      <c r="AX387">
        <v>0</v>
      </c>
      <c r="AY387">
        <v>0</v>
      </c>
    </row>
    <row r="388" spans="1:51" x14ac:dyDescent="0.3">
      <c r="A388" t="s">
        <v>364</v>
      </c>
      <c r="B388" t="s">
        <v>52</v>
      </c>
      <c r="C388" t="s">
        <v>499</v>
      </c>
      <c r="D388" t="s">
        <v>521</v>
      </c>
      <c r="E388" t="s">
        <v>55</v>
      </c>
      <c r="F388">
        <v>28</v>
      </c>
      <c r="G388">
        <v>0</v>
      </c>
      <c r="H388">
        <v>0</v>
      </c>
      <c r="I388">
        <v>28</v>
      </c>
      <c r="J388">
        <v>0</v>
      </c>
      <c r="K388">
        <v>25</v>
      </c>
      <c r="L388">
        <v>129</v>
      </c>
      <c r="M388">
        <v>4</v>
      </c>
      <c r="N388">
        <v>3</v>
      </c>
      <c r="O388">
        <v>0</v>
      </c>
      <c r="P388">
        <v>19</v>
      </c>
      <c r="Q388">
        <v>18</v>
      </c>
      <c r="R388">
        <v>19</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29</v>
      </c>
      <c r="AO388">
        <v>0</v>
      </c>
      <c r="AP388">
        <v>0</v>
      </c>
      <c r="AQ388">
        <v>0</v>
      </c>
      <c r="AR388">
        <v>0</v>
      </c>
      <c r="AS388">
        <v>0</v>
      </c>
      <c r="AT388">
        <v>0</v>
      </c>
      <c r="AU388">
        <v>0</v>
      </c>
      <c r="AV388">
        <v>9</v>
      </c>
      <c r="AW388">
        <v>0</v>
      </c>
      <c r="AX388">
        <v>0</v>
      </c>
      <c r="AY388">
        <v>0</v>
      </c>
    </row>
    <row r="389" spans="1:51" x14ac:dyDescent="0.3">
      <c r="A389" t="s">
        <v>364</v>
      </c>
      <c r="B389" t="s">
        <v>52</v>
      </c>
      <c r="C389" t="s">
        <v>514</v>
      </c>
      <c r="D389" t="s">
        <v>522</v>
      </c>
      <c r="E389" t="s">
        <v>55</v>
      </c>
      <c r="F389">
        <v>51</v>
      </c>
      <c r="G389">
        <v>0</v>
      </c>
      <c r="H389">
        <v>0</v>
      </c>
      <c r="I389">
        <v>51</v>
      </c>
      <c r="J389">
        <v>0</v>
      </c>
      <c r="K389">
        <v>47</v>
      </c>
      <c r="L389">
        <v>51</v>
      </c>
      <c r="M389">
        <v>18</v>
      </c>
      <c r="N389">
        <v>2</v>
      </c>
      <c r="O389">
        <v>1</v>
      </c>
      <c r="P389">
        <v>38</v>
      </c>
      <c r="Q389">
        <v>38</v>
      </c>
      <c r="R389">
        <v>45</v>
      </c>
      <c r="S389">
        <v>17</v>
      </c>
      <c r="T389">
        <v>0</v>
      </c>
      <c r="U389">
        <v>0</v>
      </c>
      <c r="V389">
        <v>0</v>
      </c>
      <c r="W389">
        <v>0</v>
      </c>
      <c r="X389">
        <v>3</v>
      </c>
      <c r="Y389">
        <v>1</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row>
    <row r="390" spans="1:51" x14ac:dyDescent="0.3">
      <c r="A390" t="s">
        <v>364</v>
      </c>
      <c r="B390" t="s">
        <v>52</v>
      </c>
      <c r="C390" t="s">
        <v>514</v>
      </c>
      <c r="D390" t="s">
        <v>523</v>
      </c>
      <c r="E390" t="s">
        <v>55</v>
      </c>
      <c r="F390">
        <v>80</v>
      </c>
      <c r="G390">
        <v>0</v>
      </c>
      <c r="H390">
        <v>0</v>
      </c>
      <c r="I390">
        <v>80</v>
      </c>
      <c r="J390">
        <v>0</v>
      </c>
      <c r="K390">
        <v>80</v>
      </c>
      <c r="L390">
        <v>94</v>
      </c>
      <c r="M390">
        <v>0</v>
      </c>
      <c r="N390">
        <v>0</v>
      </c>
      <c r="O390">
        <v>0</v>
      </c>
      <c r="P390">
        <v>76</v>
      </c>
      <c r="Q390">
        <v>76</v>
      </c>
      <c r="R390">
        <v>80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row>
    <row r="391" spans="1:51" x14ac:dyDescent="0.3">
      <c r="A391" t="s">
        <v>364</v>
      </c>
      <c r="B391" t="s">
        <v>52</v>
      </c>
      <c r="C391" t="s">
        <v>514</v>
      </c>
      <c r="D391" t="s">
        <v>524</v>
      </c>
      <c r="E391" t="s">
        <v>55</v>
      </c>
      <c r="F391">
        <v>69</v>
      </c>
      <c r="G391">
        <v>0</v>
      </c>
      <c r="H391">
        <v>0</v>
      </c>
      <c r="I391">
        <v>69</v>
      </c>
      <c r="J391">
        <v>0</v>
      </c>
      <c r="K391">
        <v>69</v>
      </c>
      <c r="L391">
        <v>98</v>
      </c>
      <c r="M391">
        <v>7</v>
      </c>
      <c r="N391">
        <v>8</v>
      </c>
      <c r="O391">
        <v>0</v>
      </c>
      <c r="P391">
        <v>79</v>
      </c>
      <c r="Q391">
        <v>79</v>
      </c>
      <c r="R391">
        <v>69</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row>
    <row r="392" spans="1:51" x14ac:dyDescent="0.3">
      <c r="A392" t="s">
        <v>364</v>
      </c>
      <c r="B392" t="s">
        <v>52</v>
      </c>
      <c r="C392" t="s">
        <v>495</v>
      </c>
      <c r="D392" t="s">
        <v>525</v>
      </c>
      <c r="E392" t="s">
        <v>55</v>
      </c>
      <c r="F392">
        <v>21</v>
      </c>
      <c r="G392">
        <v>0</v>
      </c>
      <c r="H392">
        <v>0</v>
      </c>
      <c r="I392">
        <v>21</v>
      </c>
      <c r="J392">
        <v>0</v>
      </c>
      <c r="K392">
        <v>21</v>
      </c>
      <c r="L392">
        <v>146</v>
      </c>
      <c r="M392">
        <v>5</v>
      </c>
      <c r="N392">
        <v>5</v>
      </c>
      <c r="O392">
        <v>0</v>
      </c>
      <c r="P392">
        <v>23</v>
      </c>
      <c r="Q392">
        <v>22</v>
      </c>
      <c r="R392">
        <v>11</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2</v>
      </c>
      <c r="AO392">
        <v>0</v>
      </c>
      <c r="AP392">
        <v>0</v>
      </c>
      <c r="AQ392">
        <v>0</v>
      </c>
      <c r="AR392">
        <v>0</v>
      </c>
      <c r="AS392">
        <v>0</v>
      </c>
      <c r="AT392">
        <v>0</v>
      </c>
      <c r="AU392">
        <v>0</v>
      </c>
      <c r="AV392">
        <v>0</v>
      </c>
      <c r="AW392">
        <v>0</v>
      </c>
      <c r="AX392">
        <v>0</v>
      </c>
      <c r="AY392">
        <v>0</v>
      </c>
    </row>
    <row r="393" spans="1:51" x14ac:dyDescent="0.3">
      <c r="A393" t="s">
        <v>364</v>
      </c>
      <c r="B393" t="s">
        <v>52</v>
      </c>
      <c r="C393" t="s">
        <v>495</v>
      </c>
      <c r="D393" t="s">
        <v>526</v>
      </c>
      <c r="E393" t="s">
        <v>55</v>
      </c>
      <c r="F393">
        <v>28</v>
      </c>
      <c r="G393">
        <v>0</v>
      </c>
      <c r="H393">
        <v>0</v>
      </c>
      <c r="I393">
        <v>28</v>
      </c>
      <c r="J393">
        <v>0</v>
      </c>
      <c r="K393">
        <v>28</v>
      </c>
      <c r="L393">
        <v>192</v>
      </c>
      <c r="M393">
        <v>10</v>
      </c>
      <c r="N393">
        <v>13</v>
      </c>
      <c r="O393">
        <v>1</v>
      </c>
      <c r="P393">
        <v>23</v>
      </c>
      <c r="Q393">
        <v>21</v>
      </c>
      <c r="R393">
        <v>18</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row>
    <row r="394" spans="1:51" x14ac:dyDescent="0.3">
      <c r="A394" t="s">
        <v>364</v>
      </c>
      <c r="B394" t="s">
        <v>52</v>
      </c>
      <c r="C394" t="s">
        <v>428</v>
      </c>
      <c r="D394" t="s">
        <v>527</v>
      </c>
      <c r="E394" t="s">
        <v>55</v>
      </c>
      <c r="F394">
        <v>31</v>
      </c>
      <c r="G394">
        <v>0</v>
      </c>
      <c r="H394">
        <v>0</v>
      </c>
      <c r="I394">
        <v>31</v>
      </c>
      <c r="J394">
        <v>0</v>
      </c>
      <c r="K394">
        <v>31</v>
      </c>
      <c r="L394">
        <v>73</v>
      </c>
      <c r="M394">
        <v>0</v>
      </c>
      <c r="N394">
        <v>0</v>
      </c>
      <c r="O394">
        <v>0</v>
      </c>
      <c r="P394">
        <v>27</v>
      </c>
      <c r="Q394">
        <v>29</v>
      </c>
      <c r="R394">
        <v>23</v>
      </c>
      <c r="S394">
        <v>2</v>
      </c>
      <c r="T394">
        <v>5</v>
      </c>
      <c r="U394">
        <v>0</v>
      </c>
      <c r="V394">
        <v>0</v>
      </c>
      <c r="W394">
        <v>0</v>
      </c>
      <c r="X394">
        <v>0</v>
      </c>
      <c r="Y394">
        <v>0</v>
      </c>
      <c r="Z394">
        <v>0</v>
      </c>
      <c r="AA394">
        <v>0</v>
      </c>
      <c r="AB394">
        <v>1</v>
      </c>
      <c r="AC394">
        <v>0</v>
      </c>
      <c r="AD394">
        <v>0</v>
      </c>
      <c r="AE394">
        <v>0</v>
      </c>
      <c r="AF394">
        <v>0</v>
      </c>
      <c r="AG394">
        <v>0</v>
      </c>
      <c r="AH394">
        <v>0</v>
      </c>
      <c r="AI394">
        <v>0</v>
      </c>
      <c r="AJ394">
        <v>0</v>
      </c>
      <c r="AK394">
        <v>0</v>
      </c>
      <c r="AL394">
        <v>0</v>
      </c>
      <c r="AM394">
        <v>0</v>
      </c>
      <c r="AN394">
        <v>2</v>
      </c>
      <c r="AO394">
        <v>0</v>
      </c>
      <c r="AP394">
        <v>0</v>
      </c>
      <c r="AQ394">
        <v>0</v>
      </c>
      <c r="AR394">
        <v>0</v>
      </c>
      <c r="AS394">
        <v>0</v>
      </c>
      <c r="AT394">
        <v>0</v>
      </c>
      <c r="AU394">
        <v>0</v>
      </c>
      <c r="AV394">
        <v>1</v>
      </c>
      <c r="AW394">
        <v>0</v>
      </c>
      <c r="AX394">
        <v>0</v>
      </c>
      <c r="AY394">
        <v>0</v>
      </c>
    </row>
    <row r="395" spans="1:51" x14ac:dyDescent="0.3">
      <c r="A395" t="s">
        <v>364</v>
      </c>
      <c r="B395" t="s">
        <v>52</v>
      </c>
      <c r="C395" t="s">
        <v>514</v>
      </c>
      <c r="D395" t="s">
        <v>528</v>
      </c>
      <c r="E395" t="s">
        <v>55</v>
      </c>
      <c r="F395">
        <v>17</v>
      </c>
      <c r="G395">
        <v>0</v>
      </c>
      <c r="H395">
        <v>0</v>
      </c>
      <c r="I395">
        <v>17</v>
      </c>
      <c r="J395">
        <v>0</v>
      </c>
      <c r="K395">
        <v>14</v>
      </c>
      <c r="L395">
        <v>17</v>
      </c>
      <c r="M395">
        <v>6</v>
      </c>
      <c r="N395">
        <v>0</v>
      </c>
      <c r="O395">
        <v>0</v>
      </c>
      <c r="P395">
        <v>29</v>
      </c>
      <c r="Q395">
        <v>29</v>
      </c>
      <c r="R395">
        <v>16</v>
      </c>
      <c r="S395">
        <v>23</v>
      </c>
      <c r="T395">
        <v>4</v>
      </c>
      <c r="U395">
        <v>0</v>
      </c>
      <c r="V395">
        <v>0</v>
      </c>
      <c r="W395">
        <v>0</v>
      </c>
      <c r="X395">
        <v>2</v>
      </c>
      <c r="Y395">
        <v>0</v>
      </c>
      <c r="Z395">
        <v>1</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row>
    <row r="396" spans="1:51" x14ac:dyDescent="0.3">
      <c r="A396" t="s">
        <v>364</v>
      </c>
      <c r="B396" t="s">
        <v>52</v>
      </c>
      <c r="C396" t="s">
        <v>495</v>
      </c>
      <c r="D396" t="s">
        <v>529</v>
      </c>
      <c r="E396" t="s">
        <v>55</v>
      </c>
      <c r="F396">
        <v>40</v>
      </c>
      <c r="G396">
        <v>0</v>
      </c>
      <c r="H396">
        <v>0</v>
      </c>
      <c r="I396">
        <v>40</v>
      </c>
      <c r="J396">
        <v>0</v>
      </c>
      <c r="K396">
        <v>40</v>
      </c>
      <c r="L396">
        <v>249</v>
      </c>
      <c r="M396">
        <v>16</v>
      </c>
      <c r="N396">
        <v>12</v>
      </c>
      <c r="O396">
        <v>0</v>
      </c>
      <c r="P396">
        <v>39</v>
      </c>
      <c r="Q396">
        <v>34</v>
      </c>
      <c r="R396">
        <v>30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row>
    <row r="397" spans="1:51" x14ac:dyDescent="0.3">
      <c r="A397" t="s">
        <v>364</v>
      </c>
      <c r="B397" t="s">
        <v>52</v>
      </c>
      <c r="C397" t="s">
        <v>495</v>
      </c>
      <c r="D397" t="s">
        <v>530</v>
      </c>
      <c r="E397" t="s">
        <v>55</v>
      </c>
      <c r="F397">
        <v>20</v>
      </c>
      <c r="G397">
        <v>0</v>
      </c>
      <c r="H397">
        <v>0</v>
      </c>
      <c r="I397">
        <v>20</v>
      </c>
      <c r="J397">
        <v>0</v>
      </c>
      <c r="K397">
        <v>20</v>
      </c>
      <c r="L397">
        <v>107</v>
      </c>
      <c r="M397">
        <v>11</v>
      </c>
      <c r="N397">
        <v>9</v>
      </c>
      <c r="O397">
        <v>1</v>
      </c>
      <c r="P397">
        <v>19</v>
      </c>
      <c r="Q397">
        <v>19</v>
      </c>
      <c r="R397">
        <v>15</v>
      </c>
      <c r="S397">
        <v>0</v>
      </c>
      <c r="T397">
        <v>0</v>
      </c>
      <c r="U397">
        <v>0</v>
      </c>
      <c r="V397">
        <v>0</v>
      </c>
      <c r="W397">
        <v>0</v>
      </c>
      <c r="X397">
        <v>1</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row>
    <row r="398" spans="1:51" x14ac:dyDescent="0.3">
      <c r="A398" t="s">
        <v>364</v>
      </c>
      <c r="B398" t="s">
        <v>52</v>
      </c>
      <c r="C398" t="s">
        <v>499</v>
      </c>
      <c r="D398" t="s">
        <v>531</v>
      </c>
      <c r="E398" t="s">
        <v>55</v>
      </c>
      <c r="F398">
        <v>44</v>
      </c>
      <c r="G398">
        <v>0</v>
      </c>
      <c r="H398">
        <v>0</v>
      </c>
      <c r="I398">
        <v>44</v>
      </c>
      <c r="J398">
        <v>0</v>
      </c>
      <c r="K398">
        <v>44</v>
      </c>
      <c r="L398">
        <v>213</v>
      </c>
      <c r="M398">
        <v>7</v>
      </c>
      <c r="N398">
        <v>5</v>
      </c>
      <c r="O398">
        <v>1</v>
      </c>
      <c r="P398">
        <v>36</v>
      </c>
      <c r="Q398">
        <v>36</v>
      </c>
      <c r="R398">
        <v>37</v>
      </c>
      <c r="S398">
        <v>8</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3</v>
      </c>
      <c r="AO398">
        <v>0</v>
      </c>
      <c r="AP398">
        <v>0</v>
      </c>
      <c r="AQ398">
        <v>0</v>
      </c>
      <c r="AR398">
        <v>0</v>
      </c>
      <c r="AS398">
        <v>0</v>
      </c>
      <c r="AT398">
        <v>0</v>
      </c>
      <c r="AU398">
        <v>0</v>
      </c>
      <c r="AV398">
        <v>24</v>
      </c>
      <c r="AW398">
        <v>0</v>
      </c>
      <c r="AX398">
        <v>0</v>
      </c>
      <c r="AY398">
        <v>0</v>
      </c>
    </row>
    <row r="399" spans="1:51" x14ac:dyDescent="0.3">
      <c r="A399" t="s">
        <v>364</v>
      </c>
      <c r="B399" t="s">
        <v>52</v>
      </c>
      <c r="C399" t="s">
        <v>428</v>
      </c>
      <c r="D399" t="s">
        <v>532</v>
      </c>
      <c r="E399" t="s">
        <v>55</v>
      </c>
      <c r="F399">
        <v>13</v>
      </c>
      <c r="G399">
        <v>0</v>
      </c>
      <c r="H399">
        <v>0</v>
      </c>
      <c r="I399">
        <v>13</v>
      </c>
      <c r="J399">
        <v>0</v>
      </c>
      <c r="K399">
        <v>13</v>
      </c>
      <c r="L399">
        <v>92</v>
      </c>
      <c r="M399">
        <v>2</v>
      </c>
      <c r="N399">
        <v>3</v>
      </c>
      <c r="O399">
        <v>0</v>
      </c>
      <c r="P399">
        <v>17</v>
      </c>
      <c r="Q399">
        <v>10</v>
      </c>
      <c r="R399">
        <v>18</v>
      </c>
      <c r="S399">
        <v>0</v>
      </c>
      <c r="T399">
        <v>0</v>
      </c>
      <c r="U399">
        <v>0</v>
      </c>
      <c r="V399">
        <v>0</v>
      </c>
      <c r="W399">
        <v>0</v>
      </c>
      <c r="X399">
        <v>0</v>
      </c>
      <c r="Y399">
        <v>1</v>
      </c>
      <c r="Z399">
        <v>0</v>
      </c>
      <c r="AA399">
        <v>0</v>
      </c>
      <c r="AB399">
        <v>0</v>
      </c>
      <c r="AC399">
        <v>0</v>
      </c>
      <c r="AD399">
        <v>0</v>
      </c>
      <c r="AE399">
        <v>0</v>
      </c>
      <c r="AF399">
        <v>0</v>
      </c>
      <c r="AG399">
        <v>0</v>
      </c>
      <c r="AH399">
        <v>0</v>
      </c>
      <c r="AI399">
        <v>0</v>
      </c>
      <c r="AJ399">
        <v>0</v>
      </c>
      <c r="AK399">
        <v>0</v>
      </c>
      <c r="AL399">
        <v>0</v>
      </c>
      <c r="AM399">
        <v>0</v>
      </c>
      <c r="AN399">
        <v>2</v>
      </c>
      <c r="AO399">
        <v>0</v>
      </c>
      <c r="AP399">
        <v>0</v>
      </c>
      <c r="AQ399">
        <v>0</v>
      </c>
      <c r="AR399">
        <v>0</v>
      </c>
      <c r="AS399">
        <v>0</v>
      </c>
      <c r="AT399">
        <v>0</v>
      </c>
      <c r="AU399">
        <v>0</v>
      </c>
      <c r="AV399">
        <v>0</v>
      </c>
      <c r="AW399">
        <v>0</v>
      </c>
      <c r="AX399">
        <v>0</v>
      </c>
      <c r="AY399">
        <v>0</v>
      </c>
    </row>
    <row r="400" spans="1:51" x14ac:dyDescent="0.3">
      <c r="A400" t="s">
        <v>364</v>
      </c>
      <c r="B400" t="s">
        <v>52</v>
      </c>
      <c r="C400" t="s">
        <v>453</v>
      </c>
      <c r="D400" t="s">
        <v>533</v>
      </c>
      <c r="E400" t="s">
        <v>55</v>
      </c>
      <c r="F400">
        <v>8</v>
      </c>
      <c r="G400">
        <v>0</v>
      </c>
      <c r="H400">
        <v>0</v>
      </c>
      <c r="I400">
        <v>8</v>
      </c>
      <c r="J400">
        <v>0</v>
      </c>
      <c r="K400">
        <v>7</v>
      </c>
      <c r="L400">
        <v>23</v>
      </c>
      <c r="M400">
        <v>0</v>
      </c>
      <c r="N400">
        <v>0</v>
      </c>
      <c r="O400">
        <v>0</v>
      </c>
      <c r="P400">
        <v>10</v>
      </c>
      <c r="Q400">
        <v>10</v>
      </c>
      <c r="R400">
        <v>9</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row>
    <row r="401" spans="1:51" x14ac:dyDescent="0.3">
      <c r="A401" t="s">
        <v>364</v>
      </c>
      <c r="B401" t="s">
        <v>52</v>
      </c>
      <c r="C401" t="s">
        <v>428</v>
      </c>
      <c r="D401" t="s">
        <v>534</v>
      </c>
      <c r="E401" t="s">
        <v>55</v>
      </c>
      <c r="F401">
        <v>38</v>
      </c>
      <c r="G401">
        <v>0</v>
      </c>
      <c r="H401">
        <v>0</v>
      </c>
      <c r="I401">
        <v>37</v>
      </c>
      <c r="J401">
        <v>0</v>
      </c>
      <c r="K401">
        <v>38</v>
      </c>
      <c r="L401">
        <v>179</v>
      </c>
      <c r="M401">
        <v>8</v>
      </c>
      <c r="N401">
        <v>7</v>
      </c>
      <c r="O401">
        <v>2</v>
      </c>
      <c r="P401">
        <v>26</v>
      </c>
      <c r="Q401">
        <v>30</v>
      </c>
      <c r="R401">
        <v>34</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8</v>
      </c>
      <c r="AO401">
        <v>1</v>
      </c>
      <c r="AP401">
        <v>0</v>
      </c>
      <c r="AQ401">
        <v>0</v>
      </c>
      <c r="AR401">
        <v>0</v>
      </c>
      <c r="AS401">
        <v>0</v>
      </c>
      <c r="AT401">
        <v>0</v>
      </c>
      <c r="AU401">
        <v>0</v>
      </c>
      <c r="AV401">
        <v>0</v>
      </c>
      <c r="AW401">
        <v>0</v>
      </c>
      <c r="AX401">
        <v>0</v>
      </c>
      <c r="AY401">
        <v>0</v>
      </c>
    </row>
    <row r="402" spans="1:51" x14ac:dyDescent="0.3">
      <c r="A402" t="s">
        <v>364</v>
      </c>
      <c r="B402" t="s">
        <v>52</v>
      </c>
      <c r="C402" t="s">
        <v>448</v>
      </c>
      <c r="D402" t="s">
        <v>535</v>
      </c>
      <c r="E402" t="s">
        <v>55</v>
      </c>
      <c r="F402">
        <v>30</v>
      </c>
      <c r="G402">
        <v>0</v>
      </c>
      <c r="H402">
        <v>0</v>
      </c>
      <c r="I402">
        <v>30</v>
      </c>
      <c r="J402">
        <v>0</v>
      </c>
      <c r="K402">
        <v>30</v>
      </c>
      <c r="L402">
        <v>184</v>
      </c>
      <c r="M402">
        <v>7</v>
      </c>
      <c r="N402">
        <v>4</v>
      </c>
      <c r="O402">
        <v>1</v>
      </c>
      <c r="P402">
        <v>30</v>
      </c>
      <c r="Q402">
        <v>29</v>
      </c>
      <c r="R402">
        <v>25</v>
      </c>
      <c r="S402">
        <v>5</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2</v>
      </c>
      <c r="AW402">
        <v>0</v>
      </c>
      <c r="AX402">
        <v>0</v>
      </c>
      <c r="AY402">
        <v>0</v>
      </c>
    </row>
    <row r="403" spans="1:51" x14ac:dyDescent="0.3">
      <c r="A403" t="s">
        <v>364</v>
      </c>
      <c r="B403" t="s">
        <v>52</v>
      </c>
      <c r="C403" t="s">
        <v>428</v>
      </c>
      <c r="D403" t="s">
        <v>536</v>
      </c>
      <c r="E403" t="s">
        <v>55</v>
      </c>
      <c r="F403">
        <v>34</v>
      </c>
      <c r="G403">
        <v>0</v>
      </c>
      <c r="H403">
        <v>0</v>
      </c>
      <c r="I403">
        <v>34</v>
      </c>
      <c r="J403">
        <v>0</v>
      </c>
      <c r="K403">
        <v>30</v>
      </c>
      <c r="L403">
        <v>90</v>
      </c>
      <c r="M403">
        <v>7</v>
      </c>
      <c r="N403">
        <v>5</v>
      </c>
      <c r="O403">
        <v>0</v>
      </c>
      <c r="P403">
        <v>35</v>
      </c>
      <c r="Q403">
        <v>31</v>
      </c>
      <c r="R403">
        <v>28</v>
      </c>
      <c r="S403">
        <v>2</v>
      </c>
      <c r="T403">
        <v>0</v>
      </c>
      <c r="U403">
        <v>0</v>
      </c>
      <c r="V403">
        <v>0</v>
      </c>
      <c r="W403">
        <v>0</v>
      </c>
      <c r="X403">
        <v>0</v>
      </c>
      <c r="Y403">
        <v>1</v>
      </c>
      <c r="Z403">
        <v>0</v>
      </c>
      <c r="AA403">
        <v>0</v>
      </c>
      <c r="AB403">
        <v>0</v>
      </c>
      <c r="AC403">
        <v>0</v>
      </c>
      <c r="AD403">
        <v>0</v>
      </c>
      <c r="AE403">
        <v>0</v>
      </c>
      <c r="AF403">
        <v>0</v>
      </c>
      <c r="AG403">
        <v>0</v>
      </c>
      <c r="AH403">
        <v>0</v>
      </c>
      <c r="AI403">
        <v>0</v>
      </c>
      <c r="AJ403">
        <v>0</v>
      </c>
      <c r="AK403">
        <v>0</v>
      </c>
      <c r="AL403">
        <v>0</v>
      </c>
      <c r="AM403">
        <v>0</v>
      </c>
      <c r="AN403">
        <v>8</v>
      </c>
      <c r="AO403">
        <v>0</v>
      </c>
      <c r="AP403">
        <v>0</v>
      </c>
      <c r="AQ403">
        <v>0</v>
      </c>
      <c r="AR403">
        <v>0</v>
      </c>
      <c r="AS403">
        <v>0</v>
      </c>
      <c r="AT403">
        <v>0</v>
      </c>
      <c r="AU403">
        <v>0</v>
      </c>
      <c r="AV403">
        <v>1</v>
      </c>
      <c r="AW403">
        <v>0</v>
      </c>
      <c r="AX403">
        <v>0</v>
      </c>
      <c r="AY403">
        <v>0</v>
      </c>
    </row>
    <row r="404" spans="1:51" x14ac:dyDescent="0.3">
      <c r="A404" t="s">
        <v>364</v>
      </c>
      <c r="B404" t="s">
        <v>52</v>
      </c>
      <c r="C404" t="s">
        <v>499</v>
      </c>
      <c r="D404" t="s">
        <v>537</v>
      </c>
      <c r="E404" t="s">
        <v>55</v>
      </c>
      <c r="F404">
        <v>48</v>
      </c>
      <c r="G404">
        <v>0</v>
      </c>
      <c r="H404">
        <v>0</v>
      </c>
      <c r="I404">
        <v>48</v>
      </c>
      <c r="J404">
        <v>0</v>
      </c>
      <c r="K404">
        <v>48</v>
      </c>
      <c r="L404">
        <v>206</v>
      </c>
      <c r="M404">
        <v>6</v>
      </c>
      <c r="N404">
        <v>10</v>
      </c>
      <c r="O404">
        <v>0</v>
      </c>
      <c r="P404">
        <v>40</v>
      </c>
      <c r="Q404">
        <v>40</v>
      </c>
      <c r="R404">
        <v>34</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36</v>
      </c>
      <c r="AO404">
        <v>0</v>
      </c>
      <c r="AP404">
        <v>0</v>
      </c>
      <c r="AQ404">
        <v>0</v>
      </c>
      <c r="AR404">
        <v>0</v>
      </c>
      <c r="AS404">
        <v>0</v>
      </c>
      <c r="AT404">
        <v>0</v>
      </c>
      <c r="AU404">
        <v>0</v>
      </c>
      <c r="AV404">
        <v>7</v>
      </c>
      <c r="AW404">
        <v>0</v>
      </c>
      <c r="AX404">
        <v>0</v>
      </c>
      <c r="AY404">
        <v>0</v>
      </c>
    </row>
    <row r="405" spans="1:51" x14ac:dyDescent="0.3">
      <c r="A405" t="s">
        <v>364</v>
      </c>
      <c r="B405" t="s">
        <v>72</v>
      </c>
      <c r="C405" t="s">
        <v>369</v>
      </c>
      <c r="D405" t="s">
        <v>538</v>
      </c>
      <c r="E405" t="s">
        <v>55</v>
      </c>
      <c r="F405">
        <v>0</v>
      </c>
      <c r="G405">
        <v>0</v>
      </c>
      <c r="H405">
        <v>0</v>
      </c>
      <c r="I405">
        <v>0</v>
      </c>
      <c r="J405">
        <v>0</v>
      </c>
      <c r="K405">
        <v>0</v>
      </c>
      <c r="L405">
        <v>469</v>
      </c>
      <c r="M405">
        <v>89</v>
      </c>
      <c r="N405">
        <v>55</v>
      </c>
      <c r="O405">
        <v>6</v>
      </c>
      <c r="P405">
        <v>0</v>
      </c>
      <c r="Q405">
        <v>0</v>
      </c>
      <c r="R405">
        <v>45</v>
      </c>
      <c r="S405">
        <v>95</v>
      </c>
      <c r="T405">
        <v>0</v>
      </c>
      <c r="U405">
        <v>1</v>
      </c>
      <c r="V405">
        <v>1</v>
      </c>
      <c r="W405">
        <v>0</v>
      </c>
      <c r="X405">
        <v>23</v>
      </c>
      <c r="Y405">
        <v>27</v>
      </c>
      <c r="Z405">
        <v>0</v>
      </c>
      <c r="AA405">
        <v>0</v>
      </c>
      <c r="AB405">
        <v>6</v>
      </c>
      <c r="AC405">
        <v>0</v>
      </c>
      <c r="AD405">
        <v>0</v>
      </c>
      <c r="AE405">
        <v>0</v>
      </c>
      <c r="AF405">
        <v>135</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row>
    <row r="406" spans="1:51" x14ac:dyDescent="0.3">
      <c r="A406" t="s">
        <v>364</v>
      </c>
      <c r="B406" t="s">
        <v>72</v>
      </c>
      <c r="C406" t="s">
        <v>383</v>
      </c>
      <c r="D406" t="s">
        <v>539</v>
      </c>
      <c r="E406" t="s">
        <v>55</v>
      </c>
      <c r="F406">
        <v>6</v>
      </c>
      <c r="G406">
        <v>0</v>
      </c>
      <c r="H406">
        <v>0</v>
      </c>
      <c r="I406">
        <v>6</v>
      </c>
      <c r="J406">
        <v>0</v>
      </c>
      <c r="K406">
        <v>4</v>
      </c>
      <c r="L406">
        <v>141</v>
      </c>
      <c r="M406">
        <v>36</v>
      </c>
      <c r="N406">
        <v>21</v>
      </c>
      <c r="O406">
        <v>8</v>
      </c>
      <c r="P406">
        <v>10</v>
      </c>
      <c r="Q406">
        <v>10</v>
      </c>
      <c r="R406">
        <v>38</v>
      </c>
      <c r="S406">
        <v>19</v>
      </c>
      <c r="T406">
        <v>1</v>
      </c>
      <c r="U406">
        <v>0</v>
      </c>
      <c r="V406">
        <v>0</v>
      </c>
      <c r="W406">
        <v>0</v>
      </c>
      <c r="X406">
        <v>3</v>
      </c>
      <c r="Y406">
        <v>29</v>
      </c>
      <c r="Z406">
        <v>3</v>
      </c>
      <c r="AA406">
        <v>3</v>
      </c>
      <c r="AB406">
        <v>1</v>
      </c>
      <c r="AC406">
        <v>0</v>
      </c>
      <c r="AD406">
        <v>0</v>
      </c>
      <c r="AE406">
        <v>0</v>
      </c>
      <c r="AF406">
        <v>14</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row>
    <row r="407" spans="1:51" x14ac:dyDescent="0.3">
      <c r="A407" t="s">
        <v>364</v>
      </c>
      <c r="B407" t="s">
        <v>72</v>
      </c>
      <c r="C407" t="s">
        <v>540</v>
      </c>
      <c r="D407" t="s">
        <v>541</v>
      </c>
      <c r="E407" t="s">
        <v>55</v>
      </c>
      <c r="F407">
        <v>0</v>
      </c>
      <c r="G407">
        <v>0</v>
      </c>
      <c r="H407">
        <v>0</v>
      </c>
      <c r="I407">
        <v>0</v>
      </c>
      <c r="J407">
        <v>0</v>
      </c>
      <c r="K407">
        <v>0</v>
      </c>
      <c r="L407">
        <v>65</v>
      </c>
      <c r="M407">
        <v>32</v>
      </c>
      <c r="N407">
        <v>27</v>
      </c>
      <c r="O407">
        <v>6</v>
      </c>
      <c r="P407">
        <v>409</v>
      </c>
      <c r="Q407">
        <v>474</v>
      </c>
      <c r="R407">
        <v>31</v>
      </c>
      <c r="S407">
        <v>51</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row>
    <row r="408" spans="1:51" x14ac:dyDescent="0.3">
      <c r="A408" t="s">
        <v>364</v>
      </c>
      <c r="B408" t="s">
        <v>72</v>
      </c>
      <c r="C408" t="s">
        <v>493</v>
      </c>
      <c r="D408" t="s">
        <v>542</v>
      </c>
      <c r="E408" t="s">
        <v>55</v>
      </c>
      <c r="F408">
        <v>0</v>
      </c>
      <c r="G408">
        <v>0</v>
      </c>
      <c r="H408">
        <v>0</v>
      </c>
      <c r="I408">
        <v>0</v>
      </c>
      <c r="J408">
        <v>0</v>
      </c>
      <c r="K408">
        <v>0</v>
      </c>
      <c r="L408">
        <v>124</v>
      </c>
      <c r="M408">
        <v>27</v>
      </c>
      <c r="N408">
        <v>27</v>
      </c>
      <c r="O408">
        <v>3</v>
      </c>
      <c r="P408">
        <v>0</v>
      </c>
      <c r="Q408">
        <v>0</v>
      </c>
      <c r="R408">
        <v>0</v>
      </c>
      <c r="S408">
        <v>220</v>
      </c>
      <c r="T408">
        <v>0</v>
      </c>
      <c r="U408">
        <v>0</v>
      </c>
      <c r="V408">
        <v>0</v>
      </c>
      <c r="W408">
        <v>0</v>
      </c>
      <c r="X408">
        <v>11</v>
      </c>
      <c r="Y408">
        <v>4</v>
      </c>
      <c r="Z408">
        <v>0</v>
      </c>
      <c r="AA408">
        <v>0</v>
      </c>
      <c r="AB408">
        <v>0</v>
      </c>
      <c r="AC408">
        <v>0</v>
      </c>
      <c r="AD408">
        <v>0</v>
      </c>
      <c r="AE408">
        <v>0</v>
      </c>
      <c r="AF408">
        <v>74</v>
      </c>
      <c r="AG408">
        <v>0</v>
      </c>
      <c r="AH408">
        <v>0</v>
      </c>
      <c r="AI408">
        <v>0</v>
      </c>
      <c r="AJ408">
        <v>0</v>
      </c>
      <c r="AK408">
        <v>0</v>
      </c>
      <c r="AL408">
        <v>0</v>
      </c>
      <c r="AM408">
        <v>0</v>
      </c>
      <c r="AN408">
        <v>1</v>
      </c>
      <c r="AO408">
        <v>0</v>
      </c>
      <c r="AP408">
        <v>1</v>
      </c>
      <c r="AQ408">
        <v>0</v>
      </c>
      <c r="AR408">
        <v>0</v>
      </c>
      <c r="AS408">
        <v>0</v>
      </c>
      <c r="AT408">
        <v>0</v>
      </c>
      <c r="AU408">
        <v>0</v>
      </c>
      <c r="AV408">
        <v>0</v>
      </c>
      <c r="AW408">
        <v>0</v>
      </c>
      <c r="AX408">
        <v>0</v>
      </c>
      <c r="AY408">
        <v>0</v>
      </c>
    </row>
    <row r="409" spans="1:51" x14ac:dyDescent="0.3">
      <c r="A409" t="s">
        <v>364</v>
      </c>
      <c r="B409" t="s">
        <v>72</v>
      </c>
      <c r="C409" t="s">
        <v>510</v>
      </c>
      <c r="D409" t="s">
        <v>543</v>
      </c>
      <c r="E409" t="s">
        <v>55</v>
      </c>
      <c r="F409">
        <v>0</v>
      </c>
      <c r="G409">
        <v>0</v>
      </c>
      <c r="H409">
        <v>0</v>
      </c>
      <c r="I409">
        <v>0</v>
      </c>
      <c r="J409">
        <v>0</v>
      </c>
      <c r="K409">
        <v>0</v>
      </c>
      <c r="L409">
        <v>94</v>
      </c>
      <c r="M409">
        <v>23</v>
      </c>
      <c r="N409">
        <v>23</v>
      </c>
      <c r="O409">
        <v>4</v>
      </c>
      <c r="P409">
        <v>0</v>
      </c>
      <c r="Q409">
        <v>0</v>
      </c>
      <c r="R409">
        <v>0</v>
      </c>
      <c r="S409">
        <v>54</v>
      </c>
      <c r="T409">
        <v>0</v>
      </c>
      <c r="U409">
        <v>0</v>
      </c>
      <c r="V409">
        <v>0</v>
      </c>
      <c r="W409">
        <v>0</v>
      </c>
      <c r="X409">
        <v>78</v>
      </c>
      <c r="Y409">
        <v>28</v>
      </c>
      <c r="Z409">
        <v>0</v>
      </c>
      <c r="AA409">
        <v>0</v>
      </c>
      <c r="AB409">
        <v>0</v>
      </c>
      <c r="AC409">
        <v>0</v>
      </c>
      <c r="AD409">
        <v>0</v>
      </c>
      <c r="AE409">
        <v>0</v>
      </c>
      <c r="AF409">
        <v>24</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row>
    <row r="410" spans="1:51" x14ac:dyDescent="0.3">
      <c r="A410" t="s">
        <v>364</v>
      </c>
      <c r="B410" t="s">
        <v>72</v>
      </c>
      <c r="C410" t="s">
        <v>499</v>
      </c>
      <c r="D410" t="s">
        <v>544</v>
      </c>
      <c r="E410" t="s">
        <v>55</v>
      </c>
      <c r="F410">
        <v>0</v>
      </c>
      <c r="G410">
        <v>0</v>
      </c>
      <c r="H410">
        <v>0</v>
      </c>
      <c r="I410">
        <v>0</v>
      </c>
      <c r="J410">
        <v>0</v>
      </c>
      <c r="K410">
        <v>0</v>
      </c>
      <c r="L410">
        <v>79</v>
      </c>
      <c r="M410">
        <v>28</v>
      </c>
      <c r="N410">
        <v>24</v>
      </c>
      <c r="O410">
        <v>4</v>
      </c>
      <c r="P410">
        <v>0</v>
      </c>
      <c r="Q410">
        <v>0</v>
      </c>
      <c r="R410">
        <v>0</v>
      </c>
      <c r="S410">
        <v>140</v>
      </c>
      <c r="T410">
        <v>0</v>
      </c>
      <c r="U410">
        <v>0</v>
      </c>
      <c r="V410">
        <v>0</v>
      </c>
      <c r="W410">
        <v>0</v>
      </c>
      <c r="X410">
        <v>0</v>
      </c>
      <c r="Y410">
        <v>0</v>
      </c>
      <c r="Z410">
        <v>0</v>
      </c>
      <c r="AA410">
        <v>0</v>
      </c>
      <c r="AB410">
        <v>0</v>
      </c>
      <c r="AC410">
        <v>0</v>
      </c>
      <c r="AD410">
        <v>0</v>
      </c>
      <c r="AE410">
        <v>0</v>
      </c>
      <c r="AF410">
        <v>2</v>
      </c>
      <c r="AG410">
        <v>0</v>
      </c>
      <c r="AH410">
        <v>0</v>
      </c>
      <c r="AI410">
        <v>0</v>
      </c>
      <c r="AJ410">
        <v>0</v>
      </c>
      <c r="AK410">
        <v>0</v>
      </c>
      <c r="AL410">
        <v>0</v>
      </c>
      <c r="AM410">
        <v>0</v>
      </c>
      <c r="AN410">
        <v>0</v>
      </c>
      <c r="AO410">
        <v>0</v>
      </c>
      <c r="AP410">
        <v>0</v>
      </c>
      <c r="AQ410">
        <v>0</v>
      </c>
      <c r="AR410">
        <v>0</v>
      </c>
      <c r="AS410">
        <v>0</v>
      </c>
      <c r="AT410">
        <v>0</v>
      </c>
      <c r="AU410">
        <v>0</v>
      </c>
      <c r="AV410">
        <v>0</v>
      </c>
      <c r="AW410">
        <v>3</v>
      </c>
      <c r="AX410">
        <v>0</v>
      </c>
      <c r="AY410">
        <v>0</v>
      </c>
    </row>
    <row r="411" spans="1:51" x14ac:dyDescent="0.3">
      <c r="A411" t="s">
        <v>364</v>
      </c>
      <c r="B411" t="s">
        <v>72</v>
      </c>
      <c r="C411" t="s">
        <v>405</v>
      </c>
      <c r="D411" t="s">
        <v>545</v>
      </c>
      <c r="E411" t="s">
        <v>55</v>
      </c>
      <c r="F411">
        <v>0</v>
      </c>
      <c r="G411">
        <v>0</v>
      </c>
      <c r="H411">
        <v>0</v>
      </c>
      <c r="I411">
        <v>0</v>
      </c>
      <c r="J411">
        <v>0</v>
      </c>
      <c r="K411">
        <v>0</v>
      </c>
      <c r="L411">
        <v>15</v>
      </c>
      <c r="M411">
        <v>1</v>
      </c>
      <c r="N411">
        <v>1</v>
      </c>
      <c r="O411">
        <v>2</v>
      </c>
      <c r="P411">
        <v>0</v>
      </c>
      <c r="Q411">
        <v>0</v>
      </c>
      <c r="R411">
        <v>0</v>
      </c>
      <c r="S411">
        <v>0</v>
      </c>
      <c r="T411">
        <v>0</v>
      </c>
      <c r="U411">
        <v>0</v>
      </c>
      <c r="V411">
        <v>0</v>
      </c>
      <c r="W411">
        <v>0</v>
      </c>
      <c r="X411">
        <v>0</v>
      </c>
      <c r="Y411">
        <v>0</v>
      </c>
      <c r="Z411">
        <v>0</v>
      </c>
      <c r="AA411">
        <v>0</v>
      </c>
      <c r="AB411">
        <v>0</v>
      </c>
      <c r="AC411">
        <v>0</v>
      </c>
      <c r="AD411">
        <v>0</v>
      </c>
      <c r="AE411">
        <v>0</v>
      </c>
      <c r="AF411">
        <v>25</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row>
    <row r="412" spans="1:51" x14ac:dyDescent="0.3">
      <c r="A412" t="s">
        <v>364</v>
      </c>
      <c r="B412" t="s">
        <v>72</v>
      </c>
      <c r="C412" t="s">
        <v>428</v>
      </c>
      <c r="D412" t="s">
        <v>546</v>
      </c>
      <c r="E412" t="s">
        <v>55</v>
      </c>
      <c r="F412">
        <v>0</v>
      </c>
      <c r="G412">
        <v>0</v>
      </c>
      <c r="H412">
        <v>0</v>
      </c>
      <c r="I412">
        <v>0</v>
      </c>
      <c r="J412">
        <v>0</v>
      </c>
      <c r="K412">
        <v>0</v>
      </c>
      <c r="L412">
        <v>149</v>
      </c>
      <c r="M412">
        <v>33</v>
      </c>
      <c r="N412">
        <v>30</v>
      </c>
      <c r="O412">
        <v>6</v>
      </c>
      <c r="P412">
        <v>8</v>
      </c>
      <c r="Q412">
        <v>7</v>
      </c>
      <c r="R412">
        <v>10</v>
      </c>
      <c r="S412">
        <v>133</v>
      </c>
      <c r="T412">
        <v>0</v>
      </c>
      <c r="U412">
        <v>0</v>
      </c>
      <c r="V412">
        <v>0</v>
      </c>
      <c r="W412">
        <v>0</v>
      </c>
      <c r="X412">
        <v>61</v>
      </c>
      <c r="Y412">
        <v>26</v>
      </c>
      <c r="Z412">
        <v>1</v>
      </c>
      <c r="AA412">
        <v>1</v>
      </c>
      <c r="AB412">
        <v>13</v>
      </c>
      <c r="AC412">
        <v>0</v>
      </c>
      <c r="AD412">
        <v>0</v>
      </c>
      <c r="AE412">
        <v>0</v>
      </c>
      <c r="AF412">
        <v>19</v>
      </c>
      <c r="AG412">
        <v>0</v>
      </c>
      <c r="AH412">
        <v>0</v>
      </c>
      <c r="AI412">
        <v>0</v>
      </c>
      <c r="AJ412">
        <v>0</v>
      </c>
      <c r="AK412">
        <v>0</v>
      </c>
      <c r="AL412">
        <v>0</v>
      </c>
      <c r="AM412">
        <v>0</v>
      </c>
      <c r="AN412">
        <v>1</v>
      </c>
      <c r="AO412">
        <v>0</v>
      </c>
      <c r="AP412">
        <v>0</v>
      </c>
      <c r="AQ412">
        <v>0</v>
      </c>
      <c r="AR412">
        <v>0</v>
      </c>
      <c r="AS412">
        <v>0</v>
      </c>
      <c r="AT412">
        <v>0</v>
      </c>
      <c r="AU412">
        <v>0</v>
      </c>
      <c r="AV412">
        <v>0</v>
      </c>
      <c r="AW412">
        <v>0</v>
      </c>
      <c r="AX412">
        <v>0</v>
      </c>
      <c r="AY412">
        <v>0</v>
      </c>
    </row>
    <row r="413" spans="1:51" x14ac:dyDescent="0.3">
      <c r="A413" t="s">
        <v>364</v>
      </c>
      <c r="B413" t="s">
        <v>72</v>
      </c>
      <c r="C413" t="s">
        <v>514</v>
      </c>
      <c r="D413" t="s">
        <v>547</v>
      </c>
      <c r="E413" t="s">
        <v>55</v>
      </c>
      <c r="F413">
        <v>0</v>
      </c>
      <c r="G413">
        <v>0</v>
      </c>
      <c r="H413">
        <v>0</v>
      </c>
      <c r="I413">
        <v>0</v>
      </c>
      <c r="J413">
        <v>0</v>
      </c>
      <c r="K413">
        <v>0</v>
      </c>
      <c r="L413">
        <v>141</v>
      </c>
      <c r="M413">
        <v>37</v>
      </c>
      <c r="N413">
        <v>49</v>
      </c>
      <c r="O413">
        <v>14</v>
      </c>
      <c r="P413">
        <v>0</v>
      </c>
      <c r="Q413">
        <v>0</v>
      </c>
      <c r="R413">
        <v>28</v>
      </c>
      <c r="S413">
        <v>231</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row>
    <row r="414" spans="1:51" x14ac:dyDescent="0.3">
      <c r="A414" t="s">
        <v>364</v>
      </c>
      <c r="B414" t="s">
        <v>72</v>
      </c>
      <c r="C414" t="s">
        <v>390</v>
      </c>
      <c r="D414" t="s">
        <v>548</v>
      </c>
      <c r="E414" t="s">
        <v>55</v>
      </c>
      <c r="F414">
        <v>0</v>
      </c>
      <c r="G414">
        <v>0</v>
      </c>
      <c r="H414">
        <v>0</v>
      </c>
      <c r="I414">
        <v>0</v>
      </c>
      <c r="J414">
        <v>0</v>
      </c>
      <c r="K414">
        <v>0</v>
      </c>
      <c r="L414">
        <v>319</v>
      </c>
      <c r="M414">
        <v>35</v>
      </c>
      <c r="N414">
        <v>40</v>
      </c>
      <c r="O414">
        <v>5</v>
      </c>
      <c r="P414">
        <v>61</v>
      </c>
      <c r="Q414">
        <v>61</v>
      </c>
      <c r="R414">
        <v>49</v>
      </c>
      <c r="S414">
        <v>70</v>
      </c>
      <c r="T414">
        <v>0</v>
      </c>
      <c r="U414">
        <v>0</v>
      </c>
      <c r="V414">
        <v>0</v>
      </c>
      <c r="W414">
        <v>0</v>
      </c>
      <c r="X414">
        <v>44</v>
      </c>
      <c r="Y414">
        <v>48</v>
      </c>
      <c r="Z414">
        <v>1</v>
      </c>
      <c r="AA414">
        <v>0</v>
      </c>
      <c r="AB414">
        <v>6</v>
      </c>
      <c r="AC414">
        <v>3</v>
      </c>
      <c r="AD414">
        <v>0</v>
      </c>
      <c r="AE414">
        <v>0</v>
      </c>
      <c r="AF414">
        <v>74</v>
      </c>
      <c r="AG414">
        <v>0</v>
      </c>
      <c r="AH414">
        <v>0</v>
      </c>
      <c r="AI414">
        <v>0</v>
      </c>
      <c r="AJ414">
        <v>0</v>
      </c>
      <c r="AK414">
        <v>0</v>
      </c>
      <c r="AL414">
        <v>0</v>
      </c>
      <c r="AM414">
        <v>0</v>
      </c>
      <c r="AN414">
        <v>0</v>
      </c>
      <c r="AO414">
        <v>0</v>
      </c>
      <c r="AP414">
        <v>0</v>
      </c>
      <c r="AQ414">
        <v>0</v>
      </c>
      <c r="AR414">
        <v>0</v>
      </c>
      <c r="AS414">
        <v>0</v>
      </c>
      <c r="AT414">
        <v>0</v>
      </c>
      <c r="AU414">
        <v>0</v>
      </c>
      <c r="AV414">
        <v>0</v>
      </c>
      <c r="AW414">
        <v>0</v>
      </c>
      <c r="AX414">
        <v>1</v>
      </c>
      <c r="AY414">
        <v>0</v>
      </c>
    </row>
    <row r="415" spans="1:51" x14ac:dyDescent="0.3">
      <c r="A415" t="s">
        <v>364</v>
      </c>
      <c r="B415" t="s">
        <v>72</v>
      </c>
      <c r="C415" t="s">
        <v>495</v>
      </c>
      <c r="D415" t="s">
        <v>549</v>
      </c>
      <c r="E415" t="s">
        <v>55</v>
      </c>
      <c r="F415">
        <v>0</v>
      </c>
      <c r="G415">
        <v>0</v>
      </c>
      <c r="H415">
        <v>0</v>
      </c>
      <c r="I415">
        <v>0</v>
      </c>
      <c r="J415">
        <v>0</v>
      </c>
      <c r="K415">
        <v>0</v>
      </c>
      <c r="L415">
        <v>4</v>
      </c>
      <c r="M415">
        <v>0</v>
      </c>
      <c r="N415">
        <v>4</v>
      </c>
      <c r="O415">
        <v>0</v>
      </c>
      <c r="P415">
        <v>8</v>
      </c>
      <c r="Q415">
        <v>3</v>
      </c>
      <c r="R415">
        <v>0</v>
      </c>
      <c r="S415">
        <v>34</v>
      </c>
      <c r="T415">
        <v>0</v>
      </c>
      <c r="U415">
        <v>0</v>
      </c>
      <c r="V415">
        <v>0</v>
      </c>
      <c r="W415">
        <v>0</v>
      </c>
      <c r="X415">
        <v>120</v>
      </c>
      <c r="Y415">
        <v>34</v>
      </c>
      <c r="Z415">
        <v>0</v>
      </c>
      <c r="AA415">
        <v>0</v>
      </c>
      <c r="AB415">
        <v>0</v>
      </c>
      <c r="AC415">
        <v>0</v>
      </c>
      <c r="AD415">
        <v>0</v>
      </c>
      <c r="AE415">
        <v>0</v>
      </c>
      <c r="AF415">
        <v>101</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row>
    <row r="416" spans="1:51" x14ac:dyDescent="0.3">
      <c r="A416" t="s">
        <v>364</v>
      </c>
      <c r="B416" t="s">
        <v>72</v>
      </c>
      <c r="C416" t="s">
        <v>453</v>
      </c>
      <c r="D416" t="s">
        <v>550</v>
      </c>
      <c r="E416" t="s">
        <v>55</v>
      </c>
      <c r="F416">
        <v>0</v>
      </c>
      <c r="G416">
        <v>0</v>
      </c>
      <c r="H416">
        <v>0</v>
      </c>
      <c r="I416">
        <v>0</v>
      </c>
      <c r="J416">
        <v>0</v>
      </c>
      <c r="K416">
        <v>0</v>
      </c>
      <c r="L416">
        <v>140</v>
      </c>
      <c r="M416">
        <v>50</v>
      </c>
      <c r="N416">
        <v>24</v>
      </c>
      <c r="O416">
        <v>2</v>
      </c>
      <c r="P416">
        <v>37</v>
      </c>
      <c r="Q416">
        <v>37</v>
      </c>
      <c r="R416">
        <v>38</v>
      </c>
      <c r="S416">
        <v>34</v>
      </c>
      <c r="T416">
        <v>0</v>
      </c>
      <c r="U416">
        <v>0</v>
      </c>
      <c r="V416">
        <v>0</v>
      </c>
      <c r="W416">
        <v>0</v>
      </c>
      <c r="X416">
        <v>11</v>
      </c>
      <c r="Y416">
        <v>2</v>
      </c>
      <c r="Z416">
        <v>0</v>
      </c>
      <c r="AA416">
        <v>0</v>
      </c>
      <c r="AB416">
        <v>0</v>
      </c>
      <c r="AC416">
        <v>0</v>
      </c>
      <c r="AD416">
        <v>0</v>
      </c>
      <c r="AE416">
        <v>0</v>
      </c>
      <c r="AF416">
        <v>37</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row>
    <row r="417" spans="1:51" x14ac:dyDescent="0.3">
      <c r="A417" t="s">
        <v>364</v>
      </c>
      <c r="B417" t="s">
        <v>72</v>
      </c>
      <c r="C417" t="s">
        <v>365</v>
      </c>
      <c r="D417" t="s">
        <v>551</v>
      </c>
      <c r="E417" t="s">
        <v>55</v>
      </c>
      <c r="F417">
        <v>0</v>
      </c>
      <c r="G417">
        <v>0</v>
      </c>
      <c r="H417">
        <v>0</v>
      </c>
      <c r="I417">
        <v>0</v>
      </c>
      <c r="J417">
        <v>0</v>
      </c>
      <c r="K417">
        <v>0</v>
      </c>
      <c r="L417">
        <v>66</v>
      </c>
      <c r="M417">
        <v>34</v>
      </c>
      <c r="N417">
        <v>23</v>
      </c>
      <c r="O417">
        <v>5</v>
      </c>
      <c r="P417">
        <v>27</v>
      </c>
      <c r="Q417">
        <v>27</v>
      </c>
      <c r="R417">
        <v>119</v>
      </c>
      <c r="S417">
        <v>134</v>
      </c>
      <c r="T417">
        <v>0</v>
      </c>
      <c r="U417">
        <v>0</v>
      </c>
      <c r="V417">
        <v>0</v>
      </c>
      <c r="W417">
        <v>0</v>
      </c>
      <c r="X417">
        <v>135</v>
      </c>
      <c r="Y417">
        <v>34</v>
      </c>
      <c r="Z417">
        <v>0</v>
      </c>
      <c r="AA417">
        <v>0</v>
      </c>
      <c r="AB417">
        <v>15</v>
      </c>
      <c r="AC417">
        <v>0</v>
      </c>
      <c r="AD417">
        <v>0</v>
      </c>
      <c r="AE417">
        <v>0</v>
      </c>
      <c r="AF417">
        <v>73</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row>
    <row r="418" spans="1:51" x14ac:dyDescent="0.3">
      <c r="A418" t="s">
        <v>364</v>
      </c>
      <c r="B418" t="s">
        <v>72</v>
      </c>
      <c r="C418" t="s">
        <v>378</v>
      </c>
      <c r="D418" t="s">
        <v>552</v>
      </c>
      <c r="E418" t="s">
        <v>55</v>
      </c>
      <c r="F418">
        <v>0</v>
      </c>
      <c r="G418">
        <v>0</v>
      </c>
      <c r="H418">
        <v>0</v>
      </c>
      <c r="I418">
        <v>0</v>
      </c>
      <c r="J418">
        <v>0</v>
      </c>
      <c r="K418">
        <v>0</v>
      </c>
      <c r="L418">
        <v>139</v>
      </c>
      <c r="M418">
        <v>37</v>
      </c>
      <c r="N418">
        <v>31</v>
      </c>
      <c r="O418">
        <v>3</v>
      </c>
      <c r="P418">
        <v>108</v>
      </c>
      <c r="Q418">
        <v>108</v>
      </c>
      <c r="R418">
        <v>79</v>
      </c>
      <c r="S418">
        <v>105</v>
      </c>
      <c r="T418">
        <v>0</v>
      </c>
      <c r="U418">
        <v>0</v>
      </c>
      <c r="V418">
        <v>0</v>
      </c>
      <c r="W418">
        <v>0</v>
      </c>
      <c r="X418">
        <v>37</v>
      </c>
      <c r="Y418">
        <v>12</v>
      </c>
      <c r="Z418">
        <v>0</v>
      </c>
      <c r="AA418">
        <v>0</v>
      </c>
      <c r="AB418">
        <v>0</v>
      </c>
      <c r="AC418">
        <v>0</v>
      </c>
      <c r="AD418">
        <v>0</v>
      </c>
      <c r="AE418">
        <v>0</v>
      </c>
      <c r="AF418">
        <v>94</v>
      </c>
      <c r="AG418">
        <v>0</v>
      </c>
      <c r="AH418">
        <v>0</v>
      </c>
      <c r="AI418">
        <v>0</v>
      </c>
      <c r="AJ418">
        <v>0</v>
      </c>
      <c r="AK418">
        <v>0</v>
      </c>
      <c r="AL418">
        <v>0</v>
      </c>
      <c r="AM418">
        <v>0</v>
      </c>
      <c r="AN418">
        <v>0</v>
      </c>
      <c r="AO418">
        <v>0</v>
      </c>
      <c r="AP418">
        <v>0</v>
      </c>
      <c r="AQ418">
        <v>0</v>
      </c>
      <c r="AR418">
        <v>0</v>
      </c>
      <c r="AS418">
        <v>0</v>
      </c>
      <c r="AT418">
        <v>0</v>
      </c>
      <c r="AU418">
        <v>0</v>
      </c>
      <c r="AV418">
        <v>29</v>
      </c>
      <c r="AW418">
        <v>0</v>
      </c>
      <c r="AX418">
        <v>0</v>
      </c>
      <c r="AY418">
        <v>0</v>
      </c>
    </row>
    <row r="419" spans="1:51" x14ac:dyDescent="0.3">
      <c r="A419" t="s">
        <v>364</v>
      </c>
      <c r="B419" t="s">
        <v>72</v>
      </c>
      <c r="C419" t="s">
        <v>385</v>
      </c>
      <c r="D419" t="s">
        <v>553</v>
      </c>
      <c r="E419" t="s">
        <v>55</v>
      </c>
      <c r="F419">
        <v>0</v>
      </c>
      <c r="G419">
        <v>0</v>
      </c>
      <c r="H419">
        <v>0</v>
      </c>
      <c r="I419">
        <v>0</v>
      </c>
      <c r="J419">
        <v>0</v>
      </c>
      <c r="K419">
        <v>0</v>
      </c>
      <c r="L419">
        <v>162</v>
      </c>
      <c r="M419">
        <v>15</v>
      </c>
      <c r="N419">
        <v>20</v>
      </c>
      <c r="O419">
        <v>2</v>
      </c>
      <c r="P419">
        <v>21</v>
      </c>
      <c r="Q419">
        <v>21</v>
      </c>
      <c r="R419">
        <v>10</v>
      </c>
      <c r="S419">
        <v>63</v>
      </c>
      <c r="T419">
        <v>0</v>
      </c>
      <c r="U419">
        <v>0</v>
      </c>
      <c r="V419">
        <v>2</v>
      </c>
      <c r="W419">
        <v>0</v>
      </c>
      <c r="X419">
        <v>0</v>
      </c>
      <c r="Y419">
        <v>1</v>
      </c>
      <c r="Z419">
        <v>0</v>
      </c>
      <c r="AA419">
        <v>0</v>
      </c>
      <c r="AB419">
        <v>3</v>
      </c>
      <c r="AC419">
        <v>0</v>
      </c>
      <c r="AD419">
        <v>0</v>
      </c>
      <c r="AE419">
        <v>0</v>
      </c>
      <c r="AF419">
        <v>42</v>
      </c>
      <c r="AG419">
        <v>0</v>
      </c>
      <c r="AH419">
        <v>0</v>
      </c>
      <c r="AI419">
        <v>0</v>
      </c>
      <c r="AJ419">
        <v>0</v>
      </c>
      <c r="AK419">
        <v>0</v>
      </c>
      <c r="AL419">
        <v>4</v>
      </c>
      <c r="AM419">
        <v>0</v>
      </c>
      <c r="AN419">
        <v>0</v>
      </c>
      <c r="AO419">
        <v>0</v>
      </c>
      <c r="AP419">
        <v>0</v>
      </c>
      <c r="AQ419">
        <v>0</v>
      </c>
      <c r="AR419">
        <v>0</v>
      </c>
      <c r="AS419">
        <v>0</v>
      </c>
      <c r="AT419">
        <v>0</v>
      </c>
      <c r="AU419">
        <v>0</v>
      </c>
      <c r="AV419">
        <v>12</v>
      </c>
      <c r="AW419">
        <v>9</v>
      </c>
      <c r="AX419">
        <v>0</v>
      </c>
      <c r="AY419">
        <v>0</v>
      </c>
    </row>
    <row r="420" spans="1:51" x14ac:dyDescent="0.3">
      <c r="A420" t="s">
        <v>364</v>
      </c>
      <c r="B420" t="s">
        <v>52</v>
      </c>
      <c r="C420" t="s">
        <v>540</v>
      </c>
      <c r="D420" t="s">
        <v>554</v>
      </c>
      <c r="E420" t="s">
        <v>55</v>
      </c>
      <c r="F420">
        <v>84</v>
      </c>
      <c r="G420">
        <v>0</v>
      </c>
      <c r="H420">
        <v>0</v>
      </c>
      <c r="I420">
        <v>84</v>
      </c>
      <c r="J420">
        <v>0</v>
      </c>
      <c r="K420">
        <v>75</v>
      </c>
      <c r="L420">
        <v>563</v>
      </c>
      <c r="M420">
        <v>0</v>
      </c>
      <c r="N420">
        <v>0</v>
      </c>
      <c r="O420">
        <v>0</v>
      </c>
      <c r="P420">
        <v>67</v>
      </c>
      <c r="Q420">
        <v>20</v>
      </c>
      <c r="R420">
        <v>73</v>
      </c>
      <c r="S420">
        <v>83</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row>
    <row r="421" spans="1:51" x14ac:dyDescent="0.3">
      <c r="A421" t="s">
        <v>364</v>
      </c>
      <c r="B421" t="s">
        <v>52</v>
      </c>
      <c r="C421" t="s">
        <v>555</v>
      </c>
      <c r="D421" t="s">
        <v>556</v>
      </c>
      <c r="E421" t="s">
        <v>55</v>
      </c>
      <c r="F421">
        <v>75</v>
      </c>
      <c r="G421">
        <v>0</v>
      </c>
      <c r="H421">
        <v>0</v>
      </c>
      <c r="I421">
        <v>75</v>
      </c>
      <c r="J421">
        <v>0</v>
      </c>
      <c r="K421">
        <v>72</v>
      </c>
      <c r="L421">
        <v>345</v>
      </c>
      <c r="M421">
        <v>0</v>
      </c>
      <c r="N421">
        <v>2</v>
      </c>
      <c r="O421">
        <v>0</v>
      </c>
      <c r="P421">
        <v>36</v>
      </c>
      <c r="Q421">
        <v>36</v>
      </c>
      <c r="R421">
        <v>2</v>
      </c>
      <c r="S421">
        <v>0</v>
      </c>
      <c r="T421">
        <v>0</v>
      </c>
      <c r="U421">
        <v>0</v>
      </c>
      <c r="V421">
        <v>0</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row>
    <row r="422" spans="1:51" x14ac:dyDescent="0.3">
      <c r="A422" t="s">
        <v>364</v>
      </c>
      <c r="B422" t="s">
        <v>52</v>
      </c>
      <c r="C422" t="s">
        <v>555</v>
      </c>
      <c r="D422" t="s">
        <v>557</v>
      </c>
      <c r="E422" t="s">
        <v>55</v>
      </c>
      <c r="F422">
        <v>62</v>
      </c>
      <c r="G422">
        <v>0</v>
      </c>
      <c r="H422">
        <v>0</v>
      </c>
      <c r="I422">
        <v>62</v>
      </c>
      <c r="J422">
        <v>0</v>
      </c>
      <c r="K422">
        <v>62</v>
      </c>
      <c r="L422">
        <v>362</v>
      </c>
      <c r="M422">
        <v>1</v>
      </c>
      <c r="N422">
        <v>1</v>
      </c>
      <c r="O422">
        <v>1</v>
      </c>
      <c r="P422">
        <v>65</v>
      </c>
      <c r="Q422">
        <v>65</v>
      </c>
      <c r="R422">
        <v>10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row>
    <row r="423" spans="1:51" x14ac:dyDescent="0.3">
      <c r="A423" t="s">
        <v>364</v>
      </c>
      <c r="B423" t="s">
        <v>52</v>
      </c>
      <c r="C423" t="s">
        <v>540</v>
      </c>
      <c r="D423" t="s">
        <v>558</v>
      </c>
      <c r="E423" t="s">
        <v>55</v>
      </c>
      <c r="F423">
        <v>89</v>
      </c>
      <c r="G423">
        <v>0</v>
      </c>
      <c r="H423">
        <v>0</v>
      </c>
      <c r="I423">
        <v>89</v>
      </c>
      <c r="J423">
        <v>0</v>
      </c>
      <c r="K423">
        <v>89</v>
      </c>
      <c r="L423">
        <v>477</v>
      </c>
      <c r="M423">
        <v>2</v>
      </c>
      <c r="N423">
        <v>3</v>
      </c>
      <c r="O423">
        <v>0</v>
      </c>
      <c r="P423">
        <v>68</v>
      </c>
      <c r="Q423">
        <v>21</v>
      </c>
      <c r="R423">
        <v>65</v>
      </c>
      <c r="S423">
        <v>83</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row>
    <row r="424" spans="1:51" x14ac:dyDescent="0.3">
      <c r="A424" t="s">
        <v>364</v>
      </c>
      <c r="B424" t="s">
        <v>52</v>
      </c>
      <c r="C424" t="s">
        <v>555</v>
      </c>
      <c r="D424" t="s">
        <v>559</v>
      </c>
      <c r="E424" t="s">
        <v>55</v>
      </c>
      <c r="F424">
        <v>90</v>
      </c>
      <c r="G424">
        <v>0</v>
      </c>
      <c r="H424">
        <v>0</v>
      </c>
      <c r="I424">
        <v>90</v>
      </c>
      <c r="J424">
        <v>0</v>
      </c>
      <c r="K424">
        <v>90</v>
      </c>
      <c r="L424">
        <v>498</v>
      </c>
      <c r="M424">
        <v>9</v>
      </c>
      <c r="N424">
        <v>6</v>
      </c>
      <c r="O424">
        <v>0</v>
      </c>
      <c r="P424">
        <v>68</v>
      </c>
      <c r="Q424">
        <v>68</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row>
    <row r="425" spans="1:51" x14ac:dyDescent="0.3">
      <c r="A425" t="s">
        <v>364</v>
      </c>
      <c r="B425" t="s">
        <v>52</v>
      </c>
      <c r="C425" t="s">
        <v>540</v>
      </c>
      <c r="D425" t="s">
        <v>560</v>
      </c>
      <c r="E425" t="s">
        <v>55</v>
      </c>
      <c r="F425">
        <v>70</v>
      </c>
      <c r="G425">
        <v>0</v>
      </c>
      <c r="H425">
        <v>0</v>
      </c>
      <c r="I425">
        <v>70</v>
      </c>
      <c r="J425">
        <v>0</v>
      </c>
      <c r="K425">
        <v>70</v>
      </c>
      <c r="L425">
        <v>423</v>
      </c>
      <c r="M425">
        <v>0</v>
      </c>
      <c r="N425">
        <v>0</v>
      </c>
      <c r="O425">
        <v>0</v>
      </c>
      <c r="P425">
        <v>56</v>
      </c>
      <c r="Q425">
        <v>14</v>
      </c>
      <c r="R425">
        <v>57</v>
      </c>
      <c r="S425">
        <v>72</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row>
    <row r="426" spans="1:51" x14ac:dyDescent="0.3">
      <c r="A426" t="s">
        <v>364</v>
      </c>
      <c r="B426" t="s">
        <v>52</v>
      </c>
      <c r="C426" t="s">
        <v>518</v>
      </c>
      <c r="D426" t="s">
        <v>561</v>
      </c>
      <c r="E426" t="s">
        <v>55</v>
      </c>
      <c r="F426">
        <v>39</v>
      </c>
      <c r="G426">
        <v>0</v>
      </c>
      <c r="H426">
        <v>0</v>
      </c>
      <c r="I426">
        <v>39</v>
      </c>
      <c r="J426">
        <v>0</v>
      </c>
      <c r="K426">
        <v>39</v>
      </c>
      <c r="L426">
        <v>193</v>
      </c>
      <c r="M426">
        <v>0</v>
      </c>
      <c r="N426">
        <v>2</v>
      </c>
      <c r="O426">
        <v>0</v>
      </c>
      <c r="P426">
        <v>38</v>
      </c>
      <c r="Q426">
        <v>38</v>
      </c>
      <c r="R426">
        <v>33</v>
      </c>
      <c r="S426">
        <v>15</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row>
    <row r="427" spans="1:51" x14ac:dyDescent="0.3">
      <c r="A427" t="s">
        <v>364</v>
      </c>
      <c r="B427" t="s">
        <v>52</v>
      </c>
      <c r="C427" t="s">
        <v>518</v>
      </c>
      <c r="D427" t="s">
        <v>562</v>
      </c>
      <c r="E427" t="s">
        <v>55</v>
      </c>
      <c r="F427">
        <v>83</v>
      </c>
      <c r="G427">
        <v>0</v>
      </c>
      <c r="H427">
        <v>0</v>
      </c>
      <c r="I427">
        <v>83</v>
      </c>
      <c r="J427">
        <v>0</v>
      </c>
      <c r="K427">
        <v>83</v>
      </c>
      <c r="L427">
        <v>494</v>
      </c>
      <c r="M427">
        <v>7</v>
      </c>
      <c r="N427">
        <v>0</v>
      </c>
      <c r="O427">
        <v>0</v>
      </c>
      <c r="P427">
        <v>83</v>
      </c>
      <c r="Q427">
        <v>83</v>
      </c>
      <c r="R427">
        <v>79</v>
      </c>
      <c r="S427">
        <v>97</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row>
    <row r="428" spans="1:51" x14ac:dyDescent="0.3">
      <c r="A428" t="s">
        <v>364</v>
      </c>
      <c r="B428" t="s">
        <v>52</v>
      </c>
      <c r="C428" t="s">
        <v>555</v>
      </c>
      <c r="D428" t="s">
        <v>563</v>
      </c>
      <c r="E428" t="s">
        <v>55</v>
      </c>
      <c r="F428">
        <v>93</v>
      </c>
      <c r="G428">
        <v>0</v>
      </c>
      <c r="H428">
        <v>0</v>
      </c>
      <c r="I428">
        <v>93</v>
      </c>
      <c r="J428">
        <v>0</v>
      </c>
      <c r="K428">
        <v>93</v>
      </c>
      <c r="L428">
        <v>478</v>
      </c>
      <c r="M428">
        <v>0</v>
      </c>
      <c r="N428">
        <v>0</v>
      </c>
      <c r="O428">
        <v>0</v>
      </c>
      <c r="P428">
        <v>69</v>
      </c>
      <c r="Q428">
        <v>69</v>
      </c>
      <c r="R428">
        <v>4</v>
      </c>
      <c r="S428">
        <v>9</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row>
    <row r="429" spans="1:51" x14ac:dyDescent="0.3">
      <c r="A429" t="s">
        <v>364</v>
      </c>
      <c r="B429" t="s">
        <v>52</v>
      </c>
      <c r="C429" t="s">
        <v>555</v>
      </c>
      <c r="D429" t="s">
        <v>564</v>
      </c>
      <c r="E429" t="s">
        <v>55</v>
      </c>
      <c r="F429">
        <v>48</v>
      </c>
      <c r="G429">
        <v>0</v>
      </c>
      <c r="H429">
        <v>0</v>
      </c>
      <c r="I429">
        <v>46</v>
      </c>
      <c r="J429">
        <v>0</v>
      </c>
      <c r="K429">
        <v>48</v>
      </c>
      <c r="L429">
        <v>205</v>
      </c>
      <c r="M429">
        <v>5</v>
      </c>
      <c r="N429">
        <v>3</v>
      </c>
      <c r="O429">
        <v>2</v>
      </c>
      <c r="P429">
        <v>34</v>
      </c>
      <c r="Q429">
        <v>34</v>
      </c>
      <c r="R429">
        <v>3</v>
      </c>
      <c r="S429">
        <v>7</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row>
    <row r="430" spans="1:51" x14ac:dyDescent="0.3">
      <c r="A430" t="s">
        <v>364</v>
      </c>
      <c r="B430" t="s">
        <v>52</v>
      </c>
      <c r="C430" t="s">
        <v>518</v>
      </c>
      <c r="D430" t="s">
        <v>565</v>
      </c>
      <c r="E430" t="s">
        <v>55</v>
      </c>
      <c r="F430">
        <v>57</v>
      </c>
      <c r="G430">
        <v>0</v>
      </c>
      <c r="H430">
        <v>0</v>
      </c>
      <c r="I430">
        <v>56</v>
      </c>
      <c r="J430">
        <v>0</v>
      </c>
      <c r="K430">
        <v>57</v>
      </c>
      <c r="L430">
        <v>322</v>
      </c>
      <c r="M430">
        <v>1</v>
      </c>
      <c r="N430">
        <v>1</v>
      </c>
      <c r="O430">
        <v>1</v>
      </c>
      <c r="P430">
        <v>57</v>
      </c>
      <c r="Q430">
        <v>56</v>
      </c>
      <c r="R430">
        <v>54</v>
      </c>
      <c r="S430">
        <v>48</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row>
    <row r="431" spans="1:51" x14ac:dyDescent="0.3">
      <c r="A431" t="s">
        <v>364</v>
      </c>
      <c r="B431" t="s">
        <v>52</v>
      </c>
      <c r="C431" t="s">
        <v>518</v>
      </c>
      <c r="D431" t="s">
        <v>566</v>
      </c>
      <c r="E431" t="s">
        <v>55</v>
      </c>
      <c r="F431">
        <v>54</v>
      </c>
      <c r="G431">
        <v>0</v>
      </c>
      <c r="H431">
        <v>0</v>
      </c>
      <c r="I431">
        <v>54</v>
      </c>
      <c r="J431">
        <v>0</v>
      </c>
      <c r="K431">
        <v>50</v>
      </c>
      <c r="L431">
        <v>307</v>
      </c>
      <c r="M431">
        <v>1</v>
      </c>
      <c r="N431">
        <v>9</v>
      </c>
      <c r="O431">
        <v>0</v>
      </c>
      <c r="P431">
        <v>51</v>
      </c>
      <c r="Q431">
        <v>31</v>
      </c>
      <c r="R431">
        <v>48</v>
      </c>
      <c r="S431">
        <v>19</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row>
    <row r="432" spans="1:51" x14ac:dyDescent="0.3">
      <c r="A432" t="s">
        <v>364</v>
      </c>
      <c r="B432" t="s">
        <v>52</v>
      </c>
      <c r="C432" t="s">
        <v>518</v>
      </c>
      <c r="D432" t="s">
        <v>567</v>
      </c>
      <c r="E432" t="s">
        <v>55</v>
      </c>
      <c r="F432">
        <v>32</v>
      </c>
      <c r="G432">
        <v>0</v>
      </c>
      <c r="H432">
        <v>0</v>
      </c>
      <c r="I432">
        <v>32</v>
      </c>
      <c r="J432">
        <v>0</v>
      </c>
      <c r="K432">
        <v>32</v>
      </c>
      <c r="L432">
        <v>184</v>
      </c>
      <c r="M432">
        <v>2</v>
      </c>
      <c r="N432">
        <v>2</v>
      </c>
      <c r="O432">
        <v>0</v>
      </c>
      <c r="P432">
        <v>26</v>
      </c>
      <c r="Q432">
        <v>26</v>
      </c>
      <c r="R432">
        <v>24</v>
      </c>
      <c r="S432">
        <v>27</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row>
    <row r="433" spans="1:51" x14ac:dyDescent="0.3">
      <c r="A433" t="s">
        <v>364</v>
      </c>
      <c r="B433" t="s">
        <v>52</v>
      </c>
      <c r="C433" t="s">
        <v>568</v>
      </c>
      <c r="D433" t="s">
        <v>569</v>
      </c>
      <c r="E433" t="s">
        <v>55</v>
      </c>
      <c r="F433">
        <v>0</v>
      </c>
      <c r="G433">
        <v>0</v>
      </c>
      <c r="H433">
        <v>0</v>
      </c>
      <c r="I433">
        <v>0</v>
      </c>
      <c r="J433">
        <v>0</v>
      </c>
      <c r="K433">
        <v>0</v>
      </c>
      <c r="L433">
        <v>41</v>
      </c>
      <c r="M433">
        <v>4</v>
      </c>
      <c r="N433">
        <v>3</v>
      </c>
      <c r="O433">
        <v>2</v>
      </c>
      <c r="P433">
        <v>0</v>
      </c>
      <c r="Q433">
        <v>0</v>
      </c>
      <c r="R433">
        <v>0</v>
      </c>
      <c r="S433">
        <v>0</v>
      </c>
      <c r="T433">
        <v>0</v>
      </c>
      <c r="U433">
        <v>0</v>
      </c>
      <c r="V433">
        <v>0</v>
      </c>
      <c r="W433">
        <v>0</v>
      </c>
      <c r="X433">
        <v>0</v>
      </c>
      <c r="Y433">
        <v>1</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3</v>
      </c>
      <c r="AX433">
        <v>0</v>
      </c>
      <c r="AY433">
        <v>0</v>
      </c>
    </row>
    <row r="434" spans="1:51" x14ac:dyDescent="0.3">
      <c r="A434" t="s">
        <v>364</v>
      </c>
      <c r="B434" t="s">
        <v>52</v>
      </c>
      <c r="C434" t="s">
        <v>570</v>
      </c>
      <c r="D434" t="s">
        <v>571</v>
      </c>
      <c r="E434" t="s">
        <v>55</v>
      </c>
      <c r="F434">
        <v>0</v>
      </c>
      <c r="G434">
        <v>0</v>
      </c>
      <c r="H434">
        <v>0</v>
      </c>
      <c r="I434">
        <v>0</v>
      </c>
      <c r="J434">
        <v>0</v>
      </c>
      <c r="K434">
        <v>0</v>
      </c>
      <c r="L434">
        <v>13</v>
      </c>
      <c r="M434">
        <v>4</v>
      </c>
      <c r="N434">
        <v>7</v>
      </c>
      <c r="O434">
        <v>1</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row>
    <row r="435" spans="1:51" x14ac:dyDescent="0.3">
      <c r="A435" t="s">
        <v>364</v>
      </c>
      <c r="B435" t="s">
        <v>52</v>
      </c>
      <c r="C435" t="s">
        <v>572</v>
      </c>
      <c r="D435" t="s">
        <v>573</v>
      </c>
      <c r="E435" t="s">
        <v>55</v>
      </c>
      <c r="F435">
        <v>0</v>
      </c>
      <c r="G435">
        <v>0</v>
      </c>
      <c r="H435">
        <v>0</v>
      </c>
      <c r="I435">
        <v>0</v>
      </c>
      <c r="J435">
        <v>0</v>
      </c>
      <c r="K435">
        <v>0</v>
      </c>
      <c r="L435">
        <v>23</v>
      </c>
      <c r="M435">
        <v>4</v>
      </c>
      <c r="N435">
        <v>6</v>
      </c>
      <c r="O435">
        <v>2</v>
      </c>
      <c r="P435">
        <v>2</v>
      </c>
      <c r="Q435">
        <v>2</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row>
    <row r="436" spans="1:51" x14ac:dyDescent="0.3">
      <c r="A436" t="s">
        <v>364</v>
      </c>
      <c r="B436" t="s">
        <v>52</v>
      </c>
      <c r="C436" t="s">
        <v>555</v>
      </c>
      <c r="D436" t="s">
        <v>574</v>
      </c>
      <c r="E436" t="s">
        <v>55</v>
      </c>
      <c r="F436">
        <v>44</v>
      </c>
      <c r="G436">
        <v>0</v>
      </c>
      <c r="H436">
        <v>0</v>
      </c>
      <c r="I436">
        <v>44</v>
      </c>
      <c r="J436">
        <v>0</v>
      </c>
      <c r="K436">
        <v>44</v>
      </c>
      <c r="L436">
        <v>248</v>
      </c>
      <c r="M436">
        <v>1</v>
      </c>
      <c r="N436">
        <v>0</v>
      </c>
      <c r="O436">
        <v>1</v>
      </c>
      <c r="P436">
        <v>33</v>
      </c>
      <c r="Q436">
        <v>33</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row>
    <row r="437" spans="1:51" x14ac:dyDescent="0.3">
      <c r="A437" t="s">
        <v>364</v>
      </c>
      <c r="B437" t="s">
        <v>52</v>
      </c>
      <c r="C437" t="s">
        <v>555</v>
      </c>
      <c r="D437" t="s">
        <v>575</v>
      </c>
      <c r="E437" t="s">
        <v>55</v>
      </c>
      <c r="F437">
        <v>77</v>
      </c>
      <c r="G437">
        <v>0</v>
      </c>
      <c r="H437">
        <v>0</v>
      </c>
      <c r="I437">
        <v>77</v>
      </c>
      <c r="J437">
        <v>0</v>
      </c>
      <c r="K437">
        <v>77</v>
      </c>
      <c r="L437">
        <v>410</v>
      </c>
      <c r="M437">
        <v>3</v>
      </c>
      <c r="N437">
        <v>2</v>
      </c>
      <c r="O437">
        <v>1</v>
      </c>
      <c r="P437">
        <v>66</v>
      </c>
      <c r="Q437">
        <v>66</v>
      </c>
      <c r="R437">
        <v>3</v>
      </c>
      <c r="S437">
        <v>7</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row>
    <row r="438" spans="1:51" x14ac:dyDescent="0.3">
      <c r="A438" t="s">
        <v>364</v>
      </c>
      <c r="B438" t="s">
        <v>52</v>
      </c>
      <c r="C438" t="s">
        <v>518</v>
      </c>
      <c r="D438" t="s">
        <v>576</v>
      </c>
      <c r="E438" t="s">
        <v>55</v>
      </c>
      <c r="F438">
        <v>65</v>
      </c>
      <c r="G438">
        <v>0</v>
      </c>
      <c r="H438">
        <v>0</v>
      </c>
      <c r="I438">
        <v>65</v>
      </c>
      <c r="J438">
        <v>0</v>
      </c>
      <c r="K438">
        <v>65</v>
      </c>
      <c r="L438">
        <v>394</v>
      </c>
      <c r="M438">
        <v>6</v>
      </c>
      <c r="N438">
        <v>0</v>
      </c>
      <c r="O438">
        <v>0</v>
      </c>
      <c r="P438">
        <v>56</v>
      </c>
      <c r="Q438">
        <v>9</v>
      </c>
      <c r="R438">
        <v>43</v>
      </c>
      <c r="S438">
        <v>60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row>
    <row r="439" spans="1:51" x14ac:dyDescent="0.3">
      <c r="A439" t="s">
        <v>364</v>
      </c>
      <c r="B439" t="s">
        <v>52</v>
      </c>
      <c r="C439" t="s">
        <v>555</v>
      </c>
      <c r="D439" t="s">
        <v>577</v>
      </c>
      <c r="E439" t="s">
        <v>55</v>
      </c>
      <c r="F439">
        <v>63</v>
      </c>
      <c r="G439">
        <v>0</v>
      </c>
      <c r="H439">
        <v>0</v>
      </c>
      <c r="I439">
        <v>63</v>
      </c>
      <c r="J439">
        <v>0</v>
      </c>
      <c r="K439">
        <v>63</v>
      </c>
      <c r="L439">
        <v>299</v>
      </c>
      <c r="M439">
        <v>0</v>
      </c>
      <c r="N439">
        <v>0</v>
      </c>
      <c r="O439">
        <v>0</v>
      </c>
      <c r="P439">
        <v>45</v>
      </c>
      <c r="Q439">
        <v>45</v>
      </c>
      <c r="R439">
        <v>1</v>
      </c>
      <c r="S439">
        <v>10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0</v>
      </c>
      <c r="AT439">
        <v>0</v>
      </c>
      <c r="AU439">
        <v>0</v>
      </c>
      <c r="AV439">
        <v>0</v>
      </c>
      <c r="AW439">
        <v>0</v>
      </c>
      <c r="AX439">
        <v>0</v>
      </c>
      <c r="AY439">
        <v>0</v>
      </c>
    </row>
    <row r="440" spans="1:51" x14ac:dyDescent="0.3">
      <c r="A440" t="s">
        <v>364</v>
      </c>
      <c r="B440" t="s">
        <v>72</v>
      </c>
      <c r="C440" t="s">
        <v>578</v>
      </c>
      <c r="D440" t="s">
        <v>579</v>
      </c>
      <c r="E440" t="s">
        <v>172</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row>
    <row r="441" spans="1:51" x14ac:dyDescent="0.3">
      <c r="A441" t="s">
        <v>364</v>
      </c>
      <c r="B441" t="s">
        <v>72</v>
      </c>
      <c r="C441" t="s">
        <v>578</v>
      </c>
      <c r="D441" t="s">
        <v>580</v>
      </c>
      <c r="E441" t="s">
        <v>172</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row>
    <row r="442" spans="1:51" x14ac:dyDescent="0.3">
      <c r="A442" t="s">
        <v>364</v>
      </c>
      <c r="B442" t="s">
        <v>72</v>
      </c>
      <c r="C442" t="s">
        <v>578</v>
      </c>
      <c r="D442" t="s">
        <v>581</v>
      </c>
      <c r="E442" t="s">
        <v>172</v>
      </c>
      <c r="F442">
        <v>43</v>
      </c>
      <c r="G442">
        <v>0</v>
      </c>
      <c r="H442">
        <v>0</v>
      </c>
      <c r="I442">
        <v>43</v>
      </c>
      <c r="J442">
        <v>0</v>
      </c>
      <c r="K442">
        <v>41</v>
      </c>
      <c r="L442">
        <v>102</v>
      </c>
      <c r="M442">
        <v>22</v>
      </c>
      <c r="N442">
        <v>10</v>
      </c>
      <c r="O442">
        <v>0</v>
      </c>
      <c r="P442">
        <v>0</v>
      </c>
      <c r="Q442">
        <v>0</v>
      </c>
      <c r="R442">
        <v>0</v>
      </c>
      <c r="S442">
        <v>0</v>
      </c>
      <c r="T442">
        <v>0</v>
      </c>
      <c r="U442">
        <v>0</v>
      </c>
      <c r="V442">
        <v>0</v>
      </c>
      <c r="W442">
        <v>0</v>
      </c>
      <c r="X442">
        <v>0</v>
      </c>
      <c r="Y442">
        <v>16</v>
      </c>
      <c r="Z442">
        <v>0</v>
      </c>
      <c r="AA442">
        <v>0</v>
      </c>
      <c r="AB442">
        <v>16</v>
      </c>
      <c r="AC442">
        <v>0</v>
      </c>
      <c r="AD442">
        <v>0</v>
      </c>
      <c r="AE442">
        <v>0</v>
      </c>
      <c r="AF442">
        <v>24</v>
      </c>
      <c r="AG442">
        <v>0</v>
      </c>
      <c r="AH442">
        <v>0</v>
      </c>
      <c r="AI442">
        <v>0</v>
      </c>
      <c r="AJ442">
        <v>0</v>
      </c>
      <c r="AK442">
        <v>0</v>
      </c>
      <c r="AL442">
        <v>14</v>
      </c>
      <c r="AM442">
        <v>14</v>
      </c>
      <c r="AN442">
        <v>0</v>
      </c>
      <c r="AO442">
        <v>0</v>
      </c>
      <c r="AP442">
        <v>0</v>
      </c>
      <c r="AQ442">
        <v>0</v>
      </c>
      <c r="AR442">
        <v>0</v>
      </c>
      <c r="AS442">
        <v>0</v>
      </c>
      <c r="AT442">
        <v>0</v>
      </c>
      <c r="AU442">
        <v>0</v>
      </c>
      <c r="AV442">
        <v>0</v>
      </c>
      <c r="AW442">
        <v>0</v>
      </c>
      <c r="AX442">
        <v>0</v>
      </c>
      <c r="AY442">
        <v>0</v>
      </c>
    </row>
    <row r="443" spans="1:51" x14ac:dyDescent="0.3">
      <c r="A443" t="s">
        <v>364</v>
      </c>
      <c r="B443" t="s">
        <v>72</v>
      </c>
      <c r="C443" t="s">
        <v>156</v>
      </c>
      <c r="D443" t="s">
        <v>582</v>
      </c>
      <c r="E443" t="s">
        <v>55</v>
      </c>
      <c r="F443">
        <v>0</v>
      </c>
      <c r="G443">
        <v>0</v>
      </c>
      <c r="H443">
        <v>0</v>
      </c>
      <c r="I443">
        <v>0</v>
      </c>
      <c r="J443">
        <v>0</v>
      </c>
      <c r="K443">
        <v>0</v>
      </c>
      <c r="L443">
        <v>31</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row>
    <row r="444" spans="1:51" x14ac:dyDescent="0.3">
      <c r="A444" t="s">
        <v>364</v>
      </c>
      <c r="B444" t="s">
        <v>72</v>
      </c>
      <c r="C444" t="s">
        <v>518</v>
      </c>
      <c r="D444" t="s">
        <v>518</v>
      </c>
      <c r="E444" t="s">
        <v>55</v>
      </c>
      <c r="F444">
        <v>0</v>
      </c>
      <c r="G444">
        <v>0</v>
      </c>
      <c r="H444">
        <v>0</v>
      </c>
      <c r="I444">
        <v>0</v>
      </c>
      <c r="J444">
        <v>0</v>
      </c>
      <c r="K444">
        <v>0</v>
      </c>
      <c r="L444">
        <v>210</v>
      </c>
      <c r="M444">
        <v>28</v>
      </c>
      <c r="N444">
        <v>24</v>
      </c>
      <c r="O444">
        <v>2</v>
      </c>
      <c r="P444">
        <v>0</v>
      </c>
      <c r="Q444">
        <v>0</v>
      </c>
      <c r="R444">
        <v>0</v>
      </c>
      <c r="S444">
        <v>0</v>
      </c>
      <c r="T444">
        <v>0</v>
      </c>
      <c r="U444">
        <v>0</v>
      </c>
      <c r="V444">
        <v>0</v>
      </c>
      <c r="W444">
        <v>0</v>
      </c>
      <c r="X444">
        <v>20</v>
      </c>
      <c r="Y444">
        <v>1</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row>
    <row r="445" spans="1:51" x14ac:dyDescent="0.3">
      <c r="A445" t="s">
        <v>364</v>
      </c>
      <c r="B445" t="s">
        <v>72</v>
      </c>
      <c r="C445" t="s">
        <v>156</v>
      </c>
      <c r="D445" t="s">
        <v>583</v>
      </c>
      <c r="E445" t="s">
        <v>55</v>
      </c>
      <c r="F445">
        <v>0</v>
      </c>
      <c r="G445">
        <v>0</v>
      </c>
      <c r="H445">
        <v>0</v>
      </c>
      <c r="I445">
        <v>0</v>
      </c>
      <c r="J445">
        <v>0</v>
      </c>
      <c r="K445">
        <v>0</v>
      </c>
      <c r="L445">
        <v>7</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row>
    <row r="446" spans="1:51" x14ac:dyDescent="0.3">
      <c r="A446" t="s">
        <v>364</v>
      </c>
      <c r="B446" t="s">
        <v>72</v>
      </c>
      <c r="C446" t="s">
        <v>578</v>
      </c>
      <c r="D446" t="s">
        <v>584</v>
      </c>
      <c r="E446" t="s">
        <v>172</v>
      </c>
      <c r="F446">
        <v>40</v>
      </c>
      <c r="G446">
        <v>0</v>
      </c>
      <c r="H446">
        <v>0</v>
      </c>
      <c r="I446">
        <v>40</v>
      </c>
      <c r="J446">
        <v>0</v>
      </c>
      <c r="K446">
        <v>40</v>
      </c>
      <c r="L446">
        <v>94</v>
      </c>
      <c r="M446">
        <v>40</v>
      </c>
      <c r="N446">
        <v>32</v>
      </c>
      <c r="O446">
        <v>0</v>
      </c>
      <c r="P446">
        <v>9</v>
      </c>
      <c r="Q446">
        <v>9</v>
      </c>
      <c r="R446">
        <v>0</v>
      </c>
      <c r="S446">
        <v>26</v>
      </c>
      <c r="T446">
        <v>0</v>
      </c>
      <c r="U446">
        <v>0</v>
      </c>
      <c r="V446">
        <v>0</v>
      </c>
      <c r="W446">
        <v>0</v>
      </c>
      <c r="X446">
        <v>36</v>
      </c>
      <c r="Y446">
        <v>0</v>
      </c>
      <c r="Z446">
        <v>0</v>
      </c>
      <c r="AA446">
        <v>0</v>
      </c>
      <c r="AB446">
        <v>35</v>
      </c>
      <c r="AC446">
        <v>0</v>
      </c>
      <c r="AD446">
        <v>0</v>
      </c>
      <c r="AE446">
        <v>0</v>
      </c>
      <c r="AF446">
        <v>36</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row>
    <row r="447" spans="1:51" x14ac:dyDescent="0.3">
      <c r="A447" t="s">
        <v>364</v>
      </c>
      <c r="B447" t="s">
        <v>72</v>
      </c>
      <c r="C447" t="s">
        <v>578</v>
      </c>
      <c r="D447" t="s">
        <v>585</v>
      </c>
      <c r="E447" t="s">
        <v>172</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row>
    <row r="448" spans="1:51" x14ac:dyDescent="0.3">
      <c r="A448" t="s">
        <v>364</v>
      </c>
      <c r="B448" t="s">
        <v>72</v>
      </c>
      <c r="C448" t="s">
        <v>578</v>
      </c>
      <c r="D448" t="s">
        <v>586</v>
      </c>
      <c r="E448" t="s">
        <v>172</v>
      </c>
      <c r="F448">
        <v>74</v>
      </c>
      <c r="G448">
        <v>0</v>
      </c>
      <c r="H448">
        <v>0</v>
      </c>
      <c r="I448">
        <v>74</v>
      </c>
      <c r="J448">
        <v>0</v>
      </c>
      <c r="K448">
        <v>49</v>
      </c>
      <c r="L448">
        <v>345</v>
      </c>
      <c r="M448">
        <v>7</v>
      </c>
      <c r="N448">
        <v>2</v>
      </c>
      <c r="O448">
        <v>0</v>
      </c>
      <c r="P448">
        <v>0</v>
      </c>
      <c r="Q448">
        <v>0</v>
      </c>
      <c r="R448">
        <v>20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10</v>
      </c>
      <c r="AM448">
        <v>9</v>
      </c>
      <c r="AN448">
        <v>0</v>
      </c>
      <c r="AO448">
        <v>0</v>
      </c>
      <c r="AP448">
        <v>0</v>
      </c>
      <c r="AQ448">
        <v>0</v>
      </c>
      <c r="AR448">
        <v>0</v>
      </c>
      <c r="AS448">
        <v>0</v>
      </c>
      <c r="AT448">
        <v>0</v>
      </c>
      <c r="AU448">
        <v>0</v>
      </c>
      <c r="AV448">
        <v>0</v>
      </c>
      <c r="AW448">
        <v>0</v>
      </c>
      <c r="AX448">
        <v>0</v>
      </c>
      <c r="AY448">
        <v>0</v>
      </c>
    </row>
    <row r="449" spans="1:51" x14ac:dyDescent="0.3">
      <c r="A449" t="s">
        <v>364</v>
      </c>
      <c r="B449" t="s">
        <v>72</v>
      </c>
      <c r="C449" t="s">
        <v>156</v>
      </c>
      <c r="D449" t="s">
        <v>587</v>
      </c>
      <c r="E449" t="s">
        <v>55</v>
      </c>
      <c r="F449">
        <v>0</v>
      </c>
      <c r="G449">
        <v>0</v>
      </c>
      <c r="H449">
        <v>0</v>
      </c>
      <c r="I449">
        <v>0</v>
      </c>
      <c r="J449">
        <v>0</v>
      </c>
      <c r="K449">
        <v>0</v>
      </c>
      <c r="L449">
        <v>18</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row>
    <row r="450" spans="1:51" x14ac:dyDescent="0.3">
      <c r="A450" t="s">
        <v>364</v>
      </c>
      <c r="B450" t="s">
        <v>72</v>
      </c>
      <c r="C450" t="s">
        <v>555</v>
      </c>
      <c r="D450" t="s">
        <v>588</v>
      </c>
      <c r="E450" t="s">
        <v>55</v>
      </c>
      <c r="F450">
        <v>0</v>
      </c>
      <c r="G450">
        <v>0</v>
      </c>
      <c r="H450">
        <v>0</v>
      </c>
      <c r="I450">
        <v>0</v>
      </c>
      <c r="J450">
        <v>0</v>
      </c>
      <c r="K450">
        <v>0</v>
      </c>
      <c r="L450">
        <v>437</v>
      </c>
      <c r="M450">
        <v>69</v>
      </c>
      <c r="N450">
        <v>49</v>
      </c>
      <c r="O450">
        <v>9</v>
      </c>
      <c r="P450">
        <v>0</v>
      </c>
      <c r="Q450">
        <v>0</v>
      </c>
      <c r="R450">
        <v>13</v>
      </c>
      <c r="S450">
        <v>47</v>
      </c>
      <c r="T450">
        <v>0</v>
      </c>
      <c r="U450">
        <v>0</v>
      </c>
      <c r="V450">
        <v>0</v>
      </c>
      <c r="W450">
        <v>0</v>
      </c>
      <c r="X450">
        <v>0</v>
      </c>
      <c r="Y450">
        <v>0</v>
      </c>
      <c r="Z450">
        <v>0</v>
      </c>
      <c r="AA450">
        <v>0</v>
      </c>
      <c r="AB450">
        <v>0</v>
      </c>
      <c r="AC450">
        <v>0</v>
      </c>
      <c r="AD450">
        <v>0</v>
      </c>
      <c r="AE450">
        <v>0</v>
      </c>
      <c r="AF450">
        <v>127</v>
      </c>
      <c r="AG450">
        <v>1</v>
      </c>
      <c r="AH450">
        <v>0</v>
      </c>
      <c r="AI450">
        <v>0</v>
      </c>
      <c r="AJ450">
        <v>0</v>
      </c>
      <c r="AK450">
        <v>0</v>
      </c>
      <c r="AL450">
        <v>0</v>
      </c>
      <c r="AM450">
        <v>0</v>
      </c>
      <c r="AN450">
        <v>0</v>
      </c>
      <c r="AO450">
        <v>0</v>
      </c>
      <c r="AP450">
        <v>0</v>
      </c>
      <c r="AQ450">
        <v>0</v>
      </c>
      <c r="AR450">
        <v>0</v>
      </c>
      <c r="AS450">
        <v>0</v>
      </c>
      <c r="AT450">
        <v>0</v>
      </c>
      <c r="AU450">
        <v>0</v>
      </c>
      <c r="AV450">
        <v>0</v>
      </c>
      <c r="AW450">
        <v>0</v>
      </c>
      <c r="AX450">
        <v>0</v>
      </c>
      <c r="AY450">
        <v>0</v>
      </c>
    </row>
    <row r="451" spans="1:51" x14ac:dyDescent="0.3">
      <c r="A451" t="s">
        <v>364</v>
      </c>
      <c r="B451" t="s">
        <v>72</v>
      </c>
      <c r="C451" t="s">
        <v>578</v>
      </c>
      <c r="D451" t="s">
        <v>589</v>
      </c>
      <c r="E451" t="s">
        <v>172</v>
      </c>
      <c r="F451">
        <v>371</v>
      </c>
      <c r="G451">
        <v>0</v>
      </c>
      <c r="H451">
        <v>0</v>
      </c>
      <c r="I451">
        <v>371</v>
      </c>
      <c r="J451">
        <v>0</v>
      </c>
      <c r="K451">
        <v>343</v>
      </c>
      <c r="L451">
        <v>403</v>
      </c>
      <c r="M451">
        <v>1</v>
      </c>
      <c r="N451">
        <v>27</v>
      </c>
      <c r="O451">
        <v>0</v>
      </c>
      <c r="P451">
        <v>0</v>
      </c>
      <c r="Q451">
        <v>0</v>
      </c>
      <c r="R451">
        <v>0</v>
      </c>
      <c r="S451">
        <v>4</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row>
    <row r="452" spans="1:51" x14ac:dyDescent="0.3">
      <c r="A452" t="s">
        <v>364</v>
      </c>
      <c r="B452" t="s">
        <v>173</v>
      </c>
      <c r="C452" t="s">
        <v>578</v>
      </c>
      <c r="D452" t="s">
        <v>590</v>
      </c>
      <c r="E452" t="s">
        <v>172</v>
      </c>
      <c r="F452">
        <v>4</v>
      </c>
      <c r="G452">
        <v>0</v>
      </c>
      <c r="H452">
        <v>0</v>
      </c>
      <c r="I452">
        <v>4</v>
      </c>
      <c r="J452">
        <v>0</v>
      </c>
      <c r="K452">
        <v>4</v>
      </c>
      <c r="L452">
        <v>139</v>
      </c>
      <c r="M452">
        <v>21</v>
      </c>
      <c r="N452">
        <v>13</v>
      </c>
      <c r="O452">
        <v>0</v>
      </c>
      <c r="P452">
        <v>156</v>
      </c>
      <c r="Q452">
        <v>156</v>
      </c>
      <c r="R452">
        <v>9</v>
      </c>
      <c r="S452">
        <v>17</v>
      </c>
      <c r="T452">
        <v>0</v>
      </c>
      <c r="U452">
        <v>9</v>
      </c>
      <c r="V452">
        <v>9</v>
      </c>
      <c r="W452">
        <v>0</v>
      </c>
      <c r="X452">
        <v>0</v>
      </c>
      <c r="Y452">
        <v>0</v>
      </c>
      <c r="Z452">
        <v>0</v>
      </c>
      <c r="AA452">
        <v>0</v>
      </c>
      <c r="AB452">
        <v>14</v>
      </c>
      <c r="AC452">
        <v>10</v>
      </c>
      <c r="AD452">
        <v>0</v>
      </c>
      <c r="AE452">
        <v>10</v>
      </c>
      <c r="AF452">
        <v>30</v>
      </c>
      <c r="AG452">
        <v>0</v>
      </c>
      <c r="AH452">
        <v>0</v>
      </c>
      <c r="AI452">
        <v>0</v>
      </c>
      <c r="AJ452">
        <v>0</v>
      </c>
      <c r="AK452">
        <v>0</v>
      </c>
      <c r="AL452">
        <v>9</v>
      </c>
      <c r="AM452">
        <v>3</v>
      </c>
      <c r="AN452">
        <v>0</v>
      </c>
      <c r="AO452">
        <v>0</v>
      </c>
      <c r="AP452">
        <v>0</v>
      </c>
      <c r="AQ452">
        <v>0</v>
      </c>
      <c r="AR452">
        <v>0</v>
      </c>
      <c r="AS452">
        <v>0</v>
      </c>
      <c r="AT452">
        <v>0</v>
      </c>
      <c r="AU452">
        <v>0</v>
      </c>
      <c r="AV452">
        <v>0</v>
      </c>
      <c r="AW452">
        <v>0</v>
      </c>
      <c r="AX452">
        <v>0</v>
      </c>
      <c r="AY452">
        <v>0</v>
      </c>
    </row>
    <row r="453" spans="1:51" x14ac:dyDescent="0.3">
      <c r="A453" t="s">
        <v>364</v>
      </c>
      <c r="B453" t="s">
        <v>173</v>
      </c>
      <c r="C453" t="s">
        <v>578</v>
      </c>
      <c r="D453" t="s">
        <v>591</v>
      </c>
      <c r="E453" t="s">
        <v>172</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row>
    <row r="454" spans="1:51" x14ac:dyDescent="0.3">
      <c r="A454" t="s">
        <v>364</v>
      </c>
      <c r="B454" t="s">
        <v>173</v>
      </c>
      <c r="C454" t="s">
        <v>578</v>
      </c>
      <c r="D454" t="s">
        <v>592</v>
      </c>
      <c r="E454" t="s">
        <v>172</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row>
    <row r="455" spans="1:51" x14ac:dyDescent="0.3">
      <c r="A455" t="s">
        <v>364</v>
      </c>
      <c r="B455" t="s">
        <v>173</v>
      </c>
      <c r="C455" t="s">
        <v>578</v>
      </c>
      <c r="D455" t="s">
        <v>593</v>
      </c>
      <c r="E455" t="s">
        <v>172</v>
      </c>
      <c r="F455">
        <v>0</v>
      </c>
      <c r="G455">
        <v>0</v>
      </c>
      <c r="H455">
        <v>0</v>
      </c>
      <c r="I455">
        <v>0</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row>
    <row r="456" spans="1:51" x14ac:dyDescent="0.3">
      <c r="A456" t="s">
        <v>364</v>
      </c>
      <c r="B456" t="s">
        <v>173</v>
      </c>
      <c r="C456" t="s">
        <v>578</v>
      </c>
      <c r="D456" t="s">
        <v>594</v>
      </c>
      <c r="E456" t="s">
        <v>172</v>
      </c>
      <c r="F456">
        <v>0</v>
      </c>
      <c r="G456">
        <v>0</v>
      </c>
      <c r="H456">
        <v>0</v>
      </c>
      <c r="I456">
        <v>0</v>
      </c>
      <c r="J456">
        <v>0</v>
      </c>
      <c r="K456">
        <v>0</v>
      </c>
      <c r="L456">
        <v>627</v>
      </c>
      <c r="M456">
        <v>58</v>
      </c>
      <c r="N456">
        <v>31</v>
      </c>
      <c r="O456">
        <v>0</v>
      </c>
      <c r="P456">
        <v>0</v>
      </c>
      <c r="Q456">
        <v>0</v>
      </c>
      <c r="R456">
        <v>0</v>
      </c>
      <c r="S456">
        <v>0</v>
      </c>
      <c r="T456">
        <v>0</v>
      </c>
      <c r="U456">
        <v>3</v>
      </c>
      <c r="V456">
        <v>1</v>
      </c>
      <c r="W456">
        <v>0</v>
      </c>
      <c r="X456">
        <v>55</v>
      </c>
      <c r="Y456">
        <v>75</v>
      </c>
      <c r="Z456">
        <v>0</v>
      </c>
      <c r="AA456">
        <v>0</v>
      </c>
      <c r="AB456">
        <v>49</v>
      </c>
      <c r="AC456">
        <v>8</v>
      </c>
      <c r="AD456">
        <v>0</v>
      </c>
      <c r="AE456">
        <v>2</v>
      </c>
      <c r="AF456">
        <v>2</v>
      </c>
      <c r="AG456">
        <v>0</v>
      </c>
      <c r="AH456">
        <v>0</v>
      </c>
      <c r="AI456">
        <v>0</v>
      </c>
      <c r="AJ456">
        <v>0</v>
      </c>
      <c r="AK456">
        <v>0</v>
      </c>
      <c r="AL456">
        <v>12</v>
      </c>
      <c r="AM456">
        <v>4</v>
      </c>
      <c r="AN456">
        <v>0</v>
      </c>
      <c r="AO456">
        <v>0</v>
      </c>
      <c r="AP456">
        <v>0</v>
      </c>
      <c r="AQ456">
        <v>1</v>
      </c>
      <c r="AR456">
        <v>1</v>
      </c>
      <c r="AS456">
        <v>0</v>
      </c>
      <c r="AT456">
        <v>0</v>
      </c>
      <c r="AU456">
        <v>0</v>
      </c>
      <c r="AV456">
        <v>0</v>
      </c>
      <c r="AW456">
        <v>0</v>
      </c>
      <c r="AX456">
        <v>0</v>
      </c>
      <c r="AY456">
        <v>2</v>
      </c>
    </row>
    <row r="457" spans="1:51" x14ac:dyDescent="0.3">
      <c r="A457" t="s">
        <v>364</v>
      </c>
      <c r="B457" t="s">
        <v>173</v>
      </c>
      <c r="C457" t="s">
        <v>578</v>
      </c>
      <c r="D457" t="s">
        <v>595</v>
      </c>
      <c r="E457" t="s">
        <v>172</v>
      </c>
      <c r="F457">
        <v>0</v>
      </c>
      <c r="G457">
        <v>0</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row>
    <row r="458" spans="1:51" x14ac:dyDescent="0.3">
      <c r="A458" t="s">
        <v>364</v>
      </c>
      <c r="B458" t="s">
        <v>173</v>
      </c>
      <c r="C458" t="s">
        <v>578</v>
      </c>
      <c r="D458" t="s">
        <v>596</v>
      </c>
      <c r="E458" t="s">
        <v>172</v>
      </c>
      <c r="F458">
        <v>143</v>
      </c>
      <c r="G458">
        <v>0</v>
      </c>
      <c r="H458">
        <v>0</v>
      </c>
      <c r="I458">
        <v>143</v>
      </c>
      <c r="J458">
        <v>0</v>
      </c>
      <c r="K458">
        <v>185</v>
      </c>
      <c r="L458">
        <v>2298</v>
      </c>
      <c r="M458">
        <v>130</v>
      </c>
      <c r="N458">
        <v>103</v>
      </c>
      <c r="O458">
        <v>0</v>
      </c>
      <c r="P458">
        <v>0</v>
      </c>
      <c r="Q458">
        <v>0</v>
      </c>
      <c r="R458">
        <v>0</v>
      </c>
      <c r="S458">
        <v>0</v>
      </c>
      <c r="T458">
        <v>233</v>
      </c>
      <c r="U458">
        <v>0</v>
      </c>
      <c r="V458">
        <v>0</v>
      </c>
      <c r="W458">
        <v>0</v>
      </c>
      <c r="X458">
        <v>0</v>
      </c>
      <c r="Y458">
        <v>0</v>
      </c>
      <c r="Z458">
        <v>0</v>
      </c>
      <c r="AA458">
        <v>0</v>
      </c>
      <c r="AB458">
        <v>0</v>
      </c>
      <c r="AC458">
        <v>0</v>
      </c>
      <c r="AD458">
        <v>0</v>
      </c>
      <c r="AE458">
        <v>0</v>
      </c>
      <c r="AF458">
        <v>137</v>
      </c>
      <c r="AG458">
        <v>0</v>
      </c>
      <c r="AH458">
        <v>0</v>
      </c>
      <c r="AI458">
        <v>0</v>
      </c>
      <c r="AJ458">
        <v>0</v>
      </c>
      <c r="AK458">
        <v>0</v>
      </c>
      <c r="AL458">
        <v>0</v>
      </c>
      <c r="AM458">
        <v>0</v>
      </c>
      <c r="AN458">
        <v>0</v>
      </c>
      <c r="AO458">
        <v>0</v>
      </c>
      <c r="AP458">
        <v>0</v>
      </c>
      <c r="AQ458">
        <v>0</v>
      </c>
      <c r="AR458">
        <v>0</v>
      </c>
      <c r="AS458">
        <v>0</v>
      </c>
      <c r="AT458">
        <v>0</v>
      </c>
      <c r="AU458">
        <v>0</v>
      </c>
      <c r="AV458">
        <v>0</v>
      </c>
      <c r="AW458">
        <v>0</v>
      </c>
      <c r="AX458">
        <v>0</v>
      </c>
      <c r="AY458">
        <v>1</v>
      </c>
    </row>
    <row r="459" spans="1:51" x14ac:dyDescent="0.3">
      <c r="A459" t="s">
        <v>364</v>
      </c>
      <c r="B459" t="s">
        <v>173</v>
      </c>
      <c r="C459" t="s">
        <v>578</v>
      </c>
      <c r="D459" t="s">
        <v>597</v>
      </c>
      <c r="E459" t="s">
        <v>172</v>
      </c>
      <c r="F459">
        <v>0</v>
      </c>
      <c r="G459">
        <v>0</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row>
    <row r="460" spans="1:51" x14ac:dyDescent="0.3">
      <c r="A460" t="s">
        <v>364</v>
      </c>
      <c r="B460" t="s">
        <v>173</v>
      </c>
      <c r="C460" t="s">
        <v>578</v>
      </c>
      <c r="D460" t="s">
        <v>598</v>
      </c>
      <c r="E460" t="s">
        <v>172</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row>
    <row r="461" spans="1:51" x14ac:dyDescent="0.3">
      <c r="A461" t="s">
        <v>364</v>
      </c>
      <c r="B461" t="s">
        <v>173</v>
      </c>
      <c r="C461" t="s">
        <v>578</v>
      </c>
      <c r="D461" t="s">
        <v>599</v>
      </c>
      <c r="E461" t="s">
        <v>172</v>
      </c>
      <c r="F461">
        <v>0</v>
      </c>
      <c r="G461">
        <v>0</v>
      </c>
      <c r="H461">
        <v>0</v>
      </c>
      <c r="I461">
        <v>0</v>
      </c>
      <c r="J461">
        <v>0</v>
      </c>
      <c r="K461">
        <v>0</v>
      </c>
      <c r="L461">
        <v>6672</v>
      </c>
      <c r="M461">
        <v>216</v>
      </c>
      <c r="N461">
        <v>151</v>
      </c>
      <c r="O461">
        <v>59</v>
      </c>
      <c r="P461">
        <v>0</v>
      </c>
      <c r="Q461">
        <v>0</v>
      </c>
      <c r="R461">
        <v>102</v>
      </c>
      <c r="S461">
        <v>0</v>
      </c>
      <c r="T461">
        <v>747</v>
      </c>
      <c r="U461">
        <v>201</v>
      </c>
      <c r="V461">
        <v>200</v>
      </c>
      <c r="W461">
        <v>0</v>
      </c>
      <c r="X461">
        <v>406</v>
      </c>
      <c r="Y461">
        <v>226</v>
      </c>
      <c r="Z461">
        <v>1</v>
      </c>
      <c r="AA461">
        <v>1</v>
      </c>
      <c r="AB461">
        <v>937</v>
      </c>
      <c r="AC461">
        <v>322</v>
      </c>
      <c r="AD461">
        <v>35</v>
      </c>
      <c r="AE461">
        <v>159</v>
      </c>
      <c r="AF461">
        <v>0</v>
      </c>
      <c r="AG461">
        <v>0</v>
      </c>
      <c r="AH461">
        <v>0</v>
      </c>
      <c r="AI461">
        <v>0</v>
      </c>
      <c r="AJ461">
        <v>0</v>
      </c>
      <c r="AK461">
        <v>0</v>
      </c>
      <c r="AL461">
        <v>244</v>
      </c>
      <c r="AM461">
        <v>280</v>
      </c>
      <c r="AN461">
        <v>0</v>
      </c>
      <c r="AO461">
        <v>0</v>
      </c>
      <c r="AP461">
        <v>0</v>
      </c>
      <c r="AQ461">
        <v>27</v>
      </c>
      <c r="AR461">
        <v>16</v>
      </c>
      <c r="AS461">
        <v>0</v>
      </c>
      <c r="AT461">
        <v>0</v>
      </c>
      <c r="AU461">
        <v>11</v>
      </c>
      <c r="AV461">
        <v>0</v>
      </c>
      <c r="AW461">
        <v>19</v>
      </c>
      <c r="AX461">
        <v>2</v>
      </c>
      <c r="AY461">
        <v>5</v>
      </c>
    </row>
    <row r="462" spans="1:51" x14ac:dyDescent="0.3">
      <c r="A462" t="s">
        <v>364</v>
      </c>
      <c r="B462" t="s">
        <v>173</v>
      </c>
      <c r="C462" t="s">
        <v>578</v>
      </c>
      <c r="D462" t="s">
        <v>600</v>
      </c>
      <c r="E462" t="s">
        <v>172</v>
      </c>
      <c r="F462">
        <v>0</v>
      </c>
      <c r="G462">
        <v>0</v>
      </c>
      <c r="H462">
        <v>0</v>
      </c>
      <c r="I462">
        <v>0</v>
      </c>
      <c r="J462">
        <v>0</v>
      </c>
      <c r="K462">
        <v>0</v>
      </c>
      <c r="L462">
        <v>111</v>
      </c>
      <c r="M462">
        <v>10</v>
      </c>
      <c r="N462">
        <v>10</v>
      </c>
      <c r="O462">
        <v>0</v>
      </c>
      <c r="P462">
        <v>0</v>
      </c>
      <c r="Q462">
        <v>0</v>
      </c>
      <c r="R462">
        <v>0</v>
      </c>
      <c r="S462">
        <v>0</v>
      </c>
      <c r="T462">
        <v>0</v>
      </c>
      <c r="U462">
        <v>0</v>
      </c>
      <c r="V462">
        <v>0</v>
      </c>
      <c r="W462">
        <v>0</v>
      </c>
      <c r="X462">
        <v>12</v>
      </c>
      <c r="Y462">
        <v>41</v>
      </c>
      <c r="Z462">
        <v>0</v>
      </c>
      <c r="AA462">
        <v>0</v>
      </c>
      <c r="AB462">
        <v>0</v>
      </c>
      <c r="AC462">
        <v>0</v>
      </c>
      <c r="AD462">
        <v>0</v>
      </c>
      <c r="AE462">
        <v>0</v>
      </c>
      <c r="AF462">
        <v>2</v>
      </c>
      <c r="AG462">
        <v>0</v>
      </c>
      <c r="AH462">
        <v>0</v>
      </c>
      <c r="AI462">
        <v>0</v>
      </c>
      <c r="AJ462">
        <v>0</v>
      </c>
      <c r="AK462">
        <v>0</v>
      </c>
      <c r="AL462">
        <v>22</v>
      </c>
      <c r="AM462">
        <v>1</v>
      </c>
      <c r="AN462">
        <v>0</v>
      </c>
      <c r="AO462">
        <v>0</v>
      </c>
      <c r="AP462">
        <v>0</v>
      </c>
      <c r="AQ462">
        <v>0</v>
      </c>
      <c r="AR462">
        <v>0</v>
      </c>
      <c r="AS462">
        <v>0</v>
      </c>
      <c r="AT462">
        <v>0</v>
      </c>
      <c r="AU462">
        <v>0</v>
      </c>
      <c r="AV462">
        <v>0</v>
      </c>
      <c r="AW462">
        <v>0</v>
      </c>
      <c r="AX462">
        <v>0</v>
      </c>
      <c r="AY462">
        <v>0</v>
      </c>
    </row>
    <row r="463" spans="1:51" x14ac:dyDescent="0.3">
      <c r="A463" t="s">
        <v>364</v>
      </c>
      <c r="B463" t="s">
        <v>173</v>
      </c>
      <c r="C463" t="s">
        <v>578</v>
      </c>
      <c r="D463" t="s">
        <v>601</v>
      </c>
      <c r="E463" t="s">
        <v>172</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row>
    <row r="464" spans="1:51" x14ac:dyDescent="0.3">
      <c r="A464" t="s">
        <v>364</v>
      </c>
      <c r="B464" t="s">
        <v>173</v>
      </c>
      <c r="C464" t="s">
        <v>578</v>
      </c>
      <c r="D464" t="s">
        <v>602</v>
      </c>
      <c r="E464" t="s">
        <v>172</v>
      </c>
      <c r="F464">
        <v>0</v>
      </c>
      <c r="G464">
        <v>0</v>
      </c>
      <c r="H464">
        <v>0</v>
      </c>
      <c r="I464">
        <v>0</v>
      </c>
      <c r="J464">
        <v>0</v>
      </c>
      <c r="K464">
        <v>0</v>
      </c>
      <c r="L464">
        <v>438</v>
      </c>
      <c r="M464">
        <v>47</v>
      </c>
      <c r="N464">
        <v>22</v>
      </c>
      <c r="O464">
        <v>0</v>
      </c>
      <c r="P464">
        <v>0</v>
      </c>
      <c r="Q464">
        <v>0</v>
      </c>
      <c r="R464">
        <v>45</v>
      </c>
      <c r="S464">
        <v>28</v>
      </c>
      <c r="T464">
        <v>59</v>
      </c>
      <c r="U464">
        <v>6</v>
      </c>
      <c r="V464">
        <v>6</v>
      </c>
      <c r="W464">
        <v>0</v>
      </c>
      <c r="X464">
        <v>8</v>
      </c>
      <c r="Y464">
        <v>10</v>
      </c>
      <c r="Z464">
        <v>3</v>
      </c>
      <c r="AA464">
        <v>1</v>
      </c>
      <c r="AB464">
        <v>29</v>
      </c>
      <c r="AC464">
        <v>6</v>
      </c>
      <c r="AD464">
        <v>1</v>
      </c>
      <c r="AE464">
        <v>6</v>
      </c>
      <c r="AF464">
        <v>17</v>
      </c>
      <c r="AG464">
        <v>0</v>
      </c>
      <c r="AH464">
        <v>0</v>
      </c>
      <c r="AI464">
        <v>0</v>
      </c>
      <c r="AJ464">
        <v>0</v>
      </c>
      <c r="AK464">
        <v>0</v>
      </c>
      <c r="AL464">
        <v>5</v>
      </c>
      <c r="AM464">
        <v>5</v>
      </c>
      <c r="AN464">
        <v>0</v>
      </c>
      <c r="AO464">
        <v>0</v>
      </c>
      <c r="AP464">
        <v>0</v>
      </c>
      <c r="AQ464">
        <v>0</v>
      </c>
      <c r="AR464">
        <v>0</v>
      </c>
      <c r="AS464">
        <v>0</v>
      </c>
      <c r="AT464">
        <v>0</v>
      </c>
      <c r="AU464">
        <v>0</v>
      </c>
      <c r="AV464">
        <v>0</v>
      </c>
      <c r="AW464">
        <v>0</v>
      </c>
      <c r="AX464">
        <v>0</v>
      </c>
      <c r="AY464">
        <v>0</v>
      </c>
    </row>
    <row r="465" spans="1:51" x14ac:dyDescent="0.3">
      <c r="A465" t="s">
        <v>364</v>
      </c>
      <c r="B465" t="s">
        <v>173</v>
      </c>
      <c r="C465" t="s">
        <v>578</v>
      </c>
      <c r="D465" t="s">
        <v>603</v>
      </c>
      <c r="E465" t="s">
        <v>172</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1</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row>
    <row r="466" spans="1:51" x14ac:dyDescent="0.3">
      <c r="A466" t="s">
        <v>364</v>
      </c>
      <c r="B466" t="s">
        <v>173</v>
      </c>
      <c r="C466" t="s">
        <v>578</v>
      </c>
      <c r="D466" t="s">
        <v>604</v>
      </c>
      <c r="E466" t="s">
        <v>172</v>
      </c>
      <c r="F466">
        <v>0</v>
      </c>
      <c r="G466">
        <v>0</v>
      </c>
      <c r="H466">
        <v>0</v>
      </c>
      <c r="I466">
        <v>0</v>
      </c>
      <c r="J466">
        <v>0</v>
      </c>
      <c r="K466">
        <v>0</v>
      </c>
      <c r="L466">
        <v>93</v>
      </c>
      <c r="M466">
        <v>22</v>
      </c>
      <c r="N466">
        <v>0</v>
      </c>
      <c r="O466">
        <v>0</v>
      </c>
      <c r="P466">
        <v>0</v>
      </c>
      <c r="Q466">
        <v>0</v>
      </c>
      <c r="R466">
        <v>17</v>
      </c>
      <c r="S466">
        <v>0</v>
      </c>
      <c r="T466">
        <v>2</v>
      </c>
      <c r="U466">
        <v>0</v>
      </c>
      <c r="V466">
        <v>0</v>
      </c>
      <c r="W466">
        <v>0</v>
      </c>
      <c r="X466">
        <v>1</v>
      </c>
      <c r="Y466">
        <v>0</v>
      </c>
      <c r="Z466">
        <v>1</v>
      </c>
      <c r="AA466">
        <v>1</v>
      </c>
      <c r="AB466">
        <v>8</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row>
    <row r="467" spans="1:51" x14ac:dyDescent="0.3">
      <c r="A467" t="s">
        <v>364</v>
      </c>
      <c r="B467" t="s">
        <v>173</v>
      </c>
      <c r="C467" t="s">
        <v>578</v>
      </c>
      <c r="D467" t="s">
        <v>605</v>
      </c>
      <c r="E467" t="s">
        <v>172</v>
      </c>
      <c r="F467">
        <v>0</v>
      </c>
      <c r="G467">
        <v>0</v>
      </c>
      <c r="H467">
        <v>0</v>
      </c>
      <c r="I467">
        <v>0</v>
      </c>
      <c r="J467">
        <v>0</v>
      </c>
      <c r="K467">
        <v>0</v>
      </c>
      <c r="L467">
        <v>19871</v>
      </c>
      <c r="M467">
        <v>866</v>
      </c>
      <c r="N467">
        <v>854</v>
      </c>
      <c r="O467">
        <v>878</v>
      </c>
      <c r="P467">
        <v>4655</v>
      </c>
      <c r="Q467">
        <v>4334</v>
      </c>
      <c r="R467">
        <v>769</v>
      </c>
      <c r="S467">
        <v>1582</v>
      </c>
      <c r="T467">
        <v>644</v>
      </c>
      <c r="U467">
        <v>202</v>
      </c>
      <c r="V467">
        <v>202</v>
      </c>
      <c r="W467">
        <v>24</v>
      </c>
      <c r="X467">
        <v>723</v>
      </c>
      <c r="Y467">
        <v>549</v>
      </c>
      <c r="Z467">
        <v>115</v>
      </c>
      <c r="AA467">
        <v>115</v>
      </c>
      <c r="AB467">
        <v>2108</v>
      </c>
      <c r="AC467">
        <v>519</v>
      </c>
      <c r="AD467">
        <v>163</v>
      </c>
      <c r="AE467">
        <v>87</v>
      </c>
      <c r="AF467">
        <v>0</v>
      </c>
      <c r="AG467">
        <v>0</v>
      </c>
      <c r="AH467">
        <v>0</v>
      </c>
      <c r="AI467">
        <v>0</v>
      </c>
      <c r="AJ467">
        <v>0</v>
      </c>
      <c r="AK467">
        <v>0</v>
      </c>
      <c r="AL467">
        <v>364</v>
      </c>
      <c r="AM467">
        <v>364</v>
      </c>
      <c r="AN467">
        <v>0</v>
      </c>
      <c r="AO467">
        <v>0</v>
      </c>
      <c r="AP467">
        <v>0</v>
      </c>
      <c r="AQ467">
        <v>26</v>
      </c>
      <c r="AR467">
        <v>3</v>
      </c>
      <c r="AS467">
        <v>0</v>
      </c>
      <c r="AT467">
        <v>20</v>
      </c>
      <c r="AU467">
        <v>3</v>
      </c>
      <c r="AV467">
        <v>0</v>
      </c>
      <c r="AW467">
        <v>10</v>
      </c>
      <c r="AX467">
        <v>12</v>
      </c>
      <c r="AY467">
        <v>42</v>
      </c>
    </row>
    <row r="468" spans="1:51" x14ac:dyDescent="0.3">
      <c r="A468" t="s">
        <v>364</v>
      </c>
      <c r="B468" t="s">
        <v>173</v>
      </c>
      <c r="C468" t="s">
        <v>578</v>
      </c>
      <c r="D468" t="s">
        <v>606</v>
      </c>
      <c r="E468" t="s">
        <v>172</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row>
    <row r="469" spans="1:51" x14ac:dyDescent="0.3">
      <c r="A469" t="s">
        <v>364</v>
      </c>
      <c r="B469" t="s">
        <v>173</v>
      </c>
      <c r="C469" t="s">
        <v>578</v>
      </c>
      <c r="D469" t="s">
        <v>607</v>
      </c>
      <c r="E469" t="s">
        <v>172</v>
      </c>
      <c r="F469">
        <v>70</v>
      </c>
      <c r="G469">
        <v>0</v>
      </c>
      <c r="H469">
        <v>0</v>
      </c>
      <c r="I469">
        <v>70</v>
      </c>
      <c r="J469">
        <v>0</v>
      </c>
      <c r="K469">
        <v>0</v>
      </c>
      <c r="L469">
        <v>354</v>
      </c>
      <c r="M469">
        <v>175</v>
      </c>
      <c r="N469">
        <v>160</v>
      </c>
      <c r="O469">
        <v>0</v>
      </c>
      <c r="P469">
        <v>0</v>
      </c>
      <c r="Q469">
        <v>0</v>
      </c>
      <c r="R469">
        <v>0</v>
      </c>
      <c r="S469">
        <v>0</v>
      </c>
      <c r="T469">
        <v>4</v>
      </c>
      <c r="U469">
        <v>11</v>
      </c>
      <c r="V469">
        <v>37</v>
      </c>
      <c r="W469">
        <v>0</v>
      </c>
      <c r="X469">
        <v>4</v>
      </c>
      <c r="Y469">
        <v>6</v>
      </c>
      <c r="Z469">
        <v>1</v>
      </c>
      <c r="AA469">
        <v>1</v>
      </c>
      <c r="AB469">
        <v>0</v>
      </c>
      <c r="AC469">
        <v>0</v>
      </c>
      <c r="AD469">
        <v>0</v>
      </c>
      <c r="AE469">
        <v>0</v>
      </c>
      <c r="AF469">
        <v>0</v>
      </c>
      <c r="AG469">
        <v>0</v>
      </c>
      <c r="AH469">
        <v>0</v>
      </c>
      <c r="AI469">
        <v>0</v>
      </c>
      <c r="AJ469">
        <v>0</v>
      </c>
      <c r="AK469">
        <v>0</v>
      </c>
      <c r="AL469">
        <v>8</v>
      </c>
      <c r="AM469">
        <v>38</v>
      </c>
      <c r="AN469">
        <v>0</v>
      </c>
      <c r="AO469">
        <v>0</v>
      </c>
      <c r="AP469">
        <v>0</v>
      </c>
      <c r="AQ469">
        <v>0</v>
      </c>
      <c r="AR469">
        <v>0</v>
      </c>
      <c r="AS469">
        <v>0</v>
      </c>
      <c r="AT469">
        <v>0</v>
      </c>
      <c r="AU469">
        <v>0</v>
      </c>
      <c r="AV469">
        <v>0</v>
      </c>
      <c r="AW469">
        <v>0</v>
      </c>
      <c r="AX469">
        <v>0</v>
      </c>
      <c r="AY469">
        <v>0</v>
      </c>
    </row>
    <row r="470" spans="1:51" x14ac:dyDescent="0.3">
      <c r="A470" t="s">
        <v>364</v>
      </c>
      <c r="B470" t="s">
        <v>173</v>
      </c>
      <c r="C470" t="s">
        <v>578</v>
      </c>
      <c r="D470" t="s">
        <v>608</v>
      </c>
      <c r="E470" t="s">
        <v>172</v>
      </c>
      <c r="F470">
        <v>0</v>
      </c>
      <c r="G470">
        <v>0</v>
      </c>
      <c r="H470">
        <v>0</v>
      </c>
      <c r="I470">
        <v>0</v>
      </c>
      <c r="J470">
        <v>0</v>
      </c>
      <c r="K470">
        <v>0</v>
      </c>
      <c r="L470">
        <v>340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row>
    <row r="471" spans="1:51" x14ac:dyDescent="0.3">
      <c r="A471" t="s">
        <v>364</v>
      </c>
      <c r="B471" t="s">
        <v>173</v>
      </c>
      <c r="C471" t="s">
        <v>578</v>
      </c>
      <c r="D471" t="s">
        <v>609</v>
      </c>
      <c r="E471" t="s">
        <v>172</v>
      </c>
      <c r="F471">
        <v>0</v>
      </c>
      <c r="G471">
        <v>0</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row>
    <row r="472" spans="1:51" x14ac:dyDescent="0.3">
      <c r="A472" t="s">
        <v>364</v>
      </c>
      <c r="B472" t="s">
        <v>173</v>
      </c>
      <c r="C472" t="s">
        <v>578</v>
      </c>
      <c r="D472" t="s">
        <v>610</v>
      </c>
      <c r="E472" t="s">
        <v>172</v>
      </c>
      <c r="F472">
        <v>0</v>
      </c>
      <c r="G472">
        <v>0</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row>
    <row r="473" spans="1:51" x14ac:dyDescent="0.3">
      <c r="A473" t="s">
        <v>364</v>
      </c>
      <c r="B473" t="s">
        <v>173</v>
      </c>
      <c r="C473" t="s">
        <v>578</v>
      </c>
      <c r="D473" t="s">
        <v>611</v>
      </c>
      <c r="E473" t="s">
        <v>172</v>
      </c>
      <c r="F473">
        <v>0</v>
      </c>
      <c r="G473">
        <v>0</v>
      </c>
      <c r="H473">
        <v>0</v>
      </c>
      <c r="I473">
        <v>0</v>
      </c>
      <c r="J473">
        <v>0</v>
      </c>
      <c r="K473">
        <v>0</v>
      </c>
      <c r="L473">
        <v>451</v>
      </c>
      <c r="M473">
        <v>37</v>
      </c>
      <c r="N473">
        <v>35</v>
      </c>
      <c r="O473">
        <v>0</v>
      </c>
      <c r="P473">
        <v>0</v>
      </c>
      <c r="Q473">
        <v>0</v>
      </c>
      <c r="R473">
        <v>0</v>
      </c>
      <c r="S473">
        <v>0</v>
      </c>
      <c r="T473">
        <v>0</v>
      </c>
      <c r="U473">
        <v>0</v>
      </c>
      <c r="V473">
        <v>0</v>
      </c>
      <c r="W473">
        <v>0</v>
      </c>
      <c r="X473">
        <v>18</v>
      </c>
      <c r="Y473">
        <v>25</v>
      </c>
      <c r="Z473">
        <v>0</v>
      </c>
      <c r="AA473">
        <v>0</v>
      </c>
      <c r="AB473">
        <v>43</v>
      </c>
      <c r="AC473">
        <v>0</v>
      </c>
      <c r="AD473">
        <v>0</v>
      </c>
      <c r="AE473">
        <v>0</v>
      </c>
      <c r="AF473">
        <v>46</v>
      </c>
      <c r="AG473">
        <v>0</v>
      </c>
      <c r="AH473">
        <v>0</v>
      </c>
      <c r="AI473">
        <v>0</v>
      </c>
      <c r="AJ473">
        <v>0</v>
      </c>
      <c r="AK473">
        <v>0</v>
      </c>
      <c r="AL473">
        <v>3</v>
      </c>
      <c r="AM473">
        <v>2</v>
      </c>
      <c r="AN473">
        <v>0</v>
      </c>
      <c r="AO473">
        <v>0</v>
      </c>
      <c r="AP473">
        <v>0</v>
      </c>
      <c r="AQ473">
        <v>0</v>
      </c>
      <c r="AR473">
        <v>0</v>
      </c>
      <c r="AS473">
        <v>0</v>
      </c>
      <c r="AT473">
        <v>0</v>
      </c>
      <c r="AU473">
        <v>0</v>
      </c>
      <c r="AV473">
        <v>0</v>
      </c>
      <c r="AW473">
        <v>0</v>
      </c>
      <c r="AX473">
        <v>0</v>
      </c>
      <c r="AY473">
        <v>0</v>
      </c>
    </row>
    <row r="474" spans="1:51" x14ac:dyDescent="0.3">
      <c r="A474" t="s">
        <v>364</v>
      </c>
      <c r="B474" t="s">
        <v>173</v>
      </c>
      <c r="C474" t="s">
        <v>578</v>
      </c>
      <c r="D474" t="s">
        <v>612</v>
      </c>
      <c r="E474" t="s">
        <v>172</v>
      </c>
      <c r="F474">
        <v>0</v>
      </c>
      <c r="G474">
        <v>0</v>
      </c>
      <c r="H474">
        <v>0</v>
      </c>
      <c r="I474">
        <v>0</v>
      </c>
      <c r="J474">
        <v>0</v>
      </c>
      <c r="K474">
        <v>0</v>
      </c>
      <c r="L474">
        <v>39</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row>
    <row r="475" spans="1:51" x14ac:dyDescent="0.3">
      <c r="A475" t="s">
        <v>364</v>
      </c>
      <c r="B475" t="s">
        <v>173</v>
      </c>
      <c r="C475" t="s">
        <v>578</v>
      </c>
      <c r="D475" t="s">
        <v>613</v>
      </c>
      <c r="E475" t="s">
        <v>172</v>
      </c>
      <c r="F475">
        <v>0</v>
      </c>
      <c r="G475">
        <v>0</v>
      </c>
      <c r="H475">
        <v>0</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0</v>
      </c>
      <c r="AX475">
        <v>0</v>
      </c>
      <c r="AY475">
        <v>0</v>
      </c>
    </row>
    <row r="476" spans="1:51" x14ac:dyDescent="0.3">
      <c r="A476" t="s">
        <v>364</v>
      </c>
      <c r="B476" t="s">
        <v>173</v>
      </c>
      <c r="C476" t="s">
        <v>578</v>
      </c>
      <c r="D476" t="s">
        <v>614</v>
      </c>
      <c r="E476" t="s">
        <v>172</v>
      </c>
      <c r="F476">
        <v>0</v>
      </c>
      <c r="G476">
        <v>0</v>
      </c>
      <c r="H476">
        <v>0</v>
      </c>
      <c r="I476">
        <v>0</v>
      </c>
      <c r="J476">
        <v>0</v>
      </c>
      <c r="K476">
        <v>0</v>
      </c>
      <c r="L476">
        <v>56</v>
      </c>
      <c r="M476">
        <v>5</v>
      </c>
      <c r="N476">
        <v>5</v>
      </c>
      <c r="O476">
        <v>0</v>
      </c>
      <c r="P476">
        <v>23</v>
      </c>
      <c r="Q476">
        <v>23</v>
      </c>
      <c r="R476">
        <v>0</v>
      </c>
      <c r="S476">
        <v>0</v>
      </c>
      <c r="T476">
        <v>0</v>
      </c>
      <c r="U476">
        <v>0</v>
      </c>
      <c r="V476">
        <v>0</v>
      </c>
      <c r="W476">
        <v>0</v>
      </c>
      <c r="X476">
        <v>0</v>
      </c>
      <c r="Y476">
        <v>0</v>
      </c>
      <c r="Z476">
        <v>0</v>
      </c>
      <c r="AA476">
        <v>0</v>
      </c>
      <c r="AB476">
        <v>0</v>
      </c>
      <c r="AC476">
        <v>0</v>
      </c>
      <c r="AD476">
        <v>0</v>
      </c>
      <c r="AE476">
        <v>0</v>
      </c>
      <c r="AF476">
        <v>20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row>
    <row r="477" spans="1:51" x14ac:dyDescent="0.3">
      <c r="A477" t="s">
        <v>364</v>
      </c>
      <c r="B477" t="s">
        <v>173</v>
      </c>
      <c r="C477" t="s">
        <v>578</v>
      </c>
      <c r="D477" t="s">
        <v>615</v>
      </c>
      <c r="E477" t="s">
        <v>172</v>
      </c>
      <c r="F477">
        <v>0</v>
      </c>
      <c r="G477">
        <v>0</v>
      </c>
      <c r="H477">
        <v>0</v>
      </c>
      <c r="I477">
        <v>0</v>
      </c>
      <c r="J477">
        <v>0</v>
      </c>
      <c r="K477">
        <v>0</v>
      </c>
      <c r="L477">
        <v>94</v>
      </c>
      <c r="M477">
        <v>23</v>
      </c>
      <c r="N477">
        <v>8</v>
      </c>
      <c r="O477">
        <v>0</v>
      </c>
      <c r="P477">
        <v>0</v>
      </c>
      <c r="Q477">
        <v>0</v>
      </c>
      <c r="R477">
        <v>0</v>
      </c>
      <c r="S477">
        <v>15</v>
      </c>
      <c r="T477">
        <v>0</v>
      </c>
      <c r="U477">
        <v>0</v>
      </c>
      <c r="V477">
        <v>0</v>
      </c>
      <c r="W477">
        <v>0</v>
      </c>
      <c r="X477">
        <v>0</v>
      </c>
      <c r="Y477">
        <v>0</v>
      </c>
      <c r="Z477">
        <v>0</v>
      </c>
      <c r="AA477">
        <v>0</v>
      </c>
      <c r="AB477">
        <v>11</v>
      </c>
      <c r="AC477">
        <v>0</v>
      </c>
      <c r="AD477">
        <v>0</v>
      </c>
      <c r="AE477">
        <v>0</v>
      </c>
      <c r="AF477">
        <v>0</v>
      </c>
      <c r="AG477">
        <v>0</v>
      </c>
      <c r="AH477">
        <v>0</v>
      </c>
      <c r="AI477">
        <v>0</v>
      </c>
      <c r="AJ477">
        <v>0</v>
      </c>
      <c r="AK477">
        <v>0</v>
      </c>
      <c r="AL477">
        <v>0</v>
      </c>
      <c r="AM477">
        <v>0</v>
      </c>
      <c r="AN477">
        <v>0</v>
      </c>
      <c r="AO477">
        <v>0</v>
      </c>
      <c r="AP477">
        <v>0</v>
      </c>
      <c r="AQ477">
        <v>0</v>
      </c>
      <c r="AR477">
        <v>0</v>
      </c>
      <c r="AS477">
        <v>0</v>
      </c>
      <c r="AT477">
        <v>0</v>
      </c>
      <c r="AU477">
        <v>0</v>
      </c>
      <c r="AV477">
        <v>0</v>
      </c>
      <c r="AW477">
        <v>0</v>
      </c>
      <c r="AX477">
        <v>0</v>
      </c>
      <c r="AY477">
        <v>0</v>
      </c>
    </row>
    <row r="478" spans="1:51" x14ac:dyDescent="0.3">
      <c r="A478" t="s">
        <v>364</v>
      </c>
      <c r="B478" t="s">
        <v>173</v>
      </c>
      <c r="C478" t="s">
        <v>578</v>
      </c>
      <c r="D478" t="s">
        <v>616</v>
      </c>
      <c r="E478" t="s">
        <v>172</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row>
    <row r="479" spans="1:51" x14ac:dyDescent="0.3">
      <c r="A479" t="s">
        <v>364</v>
      </c>
      <c r="B479" t="s">
        <v>173</v>
      </c>
      <c r="C479" t="s">
        <v>578</v>
      </c>
      <c r="D479" t="s">
        <v>617</v>
      </c>
      <c r="E479" t="s">
        <v>172</v>
      </c>
      <c r="F479">
        <v>288</v>
      </c>
      <c r="G479">
        <v>0</v>
      </c>
      <c r="H479">
        <v>0</v>
      </c>
      <c r="I479">
        <v>288</v>
      </c>
      <c r="J479">
        <v>0</v>
      </c>
      <c r="K479">
        <v>125</v>
      </c>
      <c r="L479">
        <v>1460</v>
      </c>
      <c r="M479">
        <v>323</v>
      </c>
      <c r="N479">
        <v>113</v>
      </c>
      <c r="O479">
        <v>17</v>
      </c>
      <c r="P479">
        <v>339</v>
      </c>
      <c r="Q479">
        <v>402</v>
      </c>
      <c r="R479">
        <v>465</v>
      </c>
      <c r="S479">
        <v>190</v>
      </c>
      <c r="T479">
        <v>1</v>
      </c>
      <c r="U479">
        <v>32</v>
      </c>
      <c r="V479">
        <v>32</v>
      </c>
      <c r="W479">
        <v>0</v>
      </c>
      <c r="X479">
        <v>0</v>
      </c>
      <c r="Y479">
        <v>40</v>
      </c>
      <c r="Z479">
        <v>14</v>
      </c>
      <c r="AA479">
        <v>14</v>
      </c>
      <c r="AB479">
        <v>465</v>
      </c>
      <c r="AC479">
        <v>14</v>
      </c>
      <c r="AD479">
        <v>0</v>
      </c>
      <c r="AE479">
        <v>14</v>
      </c>
      <c r="AF479">
        <v>82</v>
      </c>
      <c r="AG479">
        <v>0</v>
      </c>
      <c r="AH479">
        <v>0</v>
      </c>
      <c r="AI479">
        <v>0</v>
      </c>
      <c r="AJ479">
        <v>0</v>
      </c>
      <c r="AK479">
        <v>0</v>
      </c>
      <c r="AL479">
        <v>16</v>
      </c>
      <c r="AM479">
        <v>16</v>
      </c>
      <c r="AN479">
        <v>0</v>
      </c>
      <c r="AO479">
        <v>0</v>
      </c>
      <c r="AP479">
        <v>0</v>
      </c>
      <c r="AQ479">
        <v>0</v>
      </c>
      <c r="AR479">
        <v>0</v>
      </c>
      <c r="AS479">
        <v>0</v>
      </c>
      <c r="AT479">
        <v>0</v>
      </c>
      <c r="AU479">
        <v>0</v>
      </c>
      <c r="AV479">
        <v>4</v>
      </c>
      <c r="AW479">
        <v>0</v>
      </c>
      <c r="AX479">
        <v>17</v>
      </c>
      <c r="AY479">
        <v>0</v>
      </c>
    </row>
    <row r="480" spans="1:51" x14ac:dyDescent="0.3">
      <c r="A480" t="s">
        <v>364</v>
      </c>
      <c r="B480" t="s">
        <v>173</v>
      </c>
      <c r="C480" t="s">
        <v>578</v>
      </c>
      <c r="D480" t="s">
        <v>618</v>
      </c>
      <c r="E480" t="s">
        <v>172</v>
      </c>
      <c r="F480">
        <v>0</v>
      </c>
      <c r="G480">
        <v>0</v>
      </c>
      <c r="H480">
        <v>0</v>
      </c>
      <c r="I480">
        <v>0</v>
      </c>
      <c r="J480">
        <v>0</v>
      </c>
      <c r="K480">
        <v>0</v>
      </c>
      <c r="L480">
        <v>1175</v>
      </c>
      <c r="M480">
        <v>61</v>
      </c>
      <c r="N480">
        <v>0</v>
      </c>
      <c r="O480">
        <v>45</v>
      </c>
      <c r="P480">
        <v>0</v>
      </c>
      <c r="Q480">
        <v>0</v>
      </c>
      <c r="R480">
        <v>0</v>
      </c>
      <c r="S480">
        <v>0</v>
      </c>
      <c r="T480">
        <v>66</v>
      </c>
      <c r="U480">
        <v>19</v>
      </c>
      <c r="V480">
        <v>12</v>
      </c>
      <c r="W480">
        <v>0</v>
      </c>
      <c r="X480">
        <v>0</v>
      </c>
      <c r="Y480">
        <v>156</v>
      </c>
      <c r="Z480">
        <v>0</v>
      </c>
      <c r="AA480">
        <v>0</v>
      </c>
      <c r="AB480">
        <v>0</v>
      </c>
      <c r="AC480">
        <v>0</v>
      </c>
      <c r="AD480">
        <v>0</v>
      </c>
      <c r="AE480">
        <v>0</v>
      </c>
      <c r="AF480">
        <v>153</v>
      </c>
      <c r="AG480">
        <v>0</v>
      </c>
      <c r="AH480">
        <v>0</v>
      </c>
      <c r="AI480">
        <v>0</v>
      </c>
      <c r="AJ480">
        <v>0</v>
      </c>
      <c r="AK480">
        <v>0</v>
      </c>
      <c r="AL480">
        <v>36</v>
      </c>
      <c r="AM480">
        <v>0</v>
      </c>
      <c r="AN480">
        <v>0</v>
      </c>
      <c r="AO480">
        <v>0</v>
      </c>
      <c r="AP480">
        <v>0</v>
      </c>
      <c r="AQ480">
        <v>0</v>
      </c>
      <c r="AR480">
        <v>0</v>
      </c>
      <c r="AS480">
        <v>0</v>
      </c>
      <c r="AT480">
        <v>0</v>
      </c>
      <c r="AU480">
        <v>0</v>
      </c>
      <c r="AV480">
        <v>0</v>
      </c>
      <c r="AW480">
        <v>1</v>
      </c>
      <c r="AX480">
        <v>0</v>
      </c>
      <c r="AY480">
        <v>0</v>
      </c>
    </row>
    <row r="481" spans="1:51" x14ac:dyDescent="0.3">
      <c r="A481" t="s">
        <v>364</v>
      </c>
      <c r="B481" t="s">
        <v>173</v>
      </c>
      <c r="C481" t="s">
        <v>578</v>
      </c>
      <c r="D481" t="s">
        <v>619</v>
      </c>
      <c r="E481" t="s">
        <v>172</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row>
    <row r="482" spans="1:51" x14ac:dyDescent="0.3">
      <c r="A482" t="s">
        <v>364</v>
      </c>
      <c r="B482" t="s">
        <v>173</v>
      </c>
      <c r="C482" t="s">
        <v>578</v>
      </c>
      <c r="D482" t="s">
        <v>620</v>
      </c>
      <c r="E482" t="s">
        <v>172</v>
      </c>
      <c r="F482">
        <v>30</v>
      </c>
      <c r="G482">
        <v>0</v>
      </c>
      <c r="H482">
        <v>0</v>
      </c>
      <c r="I482">
        <v>30</v>
      </c>
      <c r="J482">
        <v>0</v>
      </c>
      <c r="K482">
        <v>0</v>
      </c>
      <c r="L482">
        <v>2132</v>
      </c>
      <c r="M482">
        <v>75</v>
      </c>
      <c r="N482">
        <v>72</v>
      </c>
      <c r="O482">
        <v>5</v>
      </c>
      <c r="P482">
        <v>0</v>
      </c>
      <c r="Q482">
        <v>0</v>
      </c>
      <c r="R482">
        <v>0</v>
      </c>
      <c r="S482">
        <v>0</v>
      </c>
      <c r="T482">
        <v>7</v>
      </c>
      <c r="U482">
        <v>1</v>
      </c>
      <c r="V482">
        <v>1</v>
      </c>
      <c r="W482">
        <v>0</v>
      </c>
      <c r="X482">
        <v>1</v>
      </c>
      <c r="Y482">
        <v>1</v>
      </c>
      <c r="Z482">
        <v>1</v>
      </c>
      <c r="AA482">
        <v>0</v>
      </c>
      <c r="AB482">
        <v>2</v>
      </c>
      <c r="AC482">
        <v>2</v>
      </c>
      <c r="AD482">
        <v>0</v>
      </c>
      <c r="AE482">
        <v>0</v>
      </c>
      <c r="AF482">
        <v>25</v>
      </c>
      <c r="AG482">
        <v>0</v>
      </c>
      <c r="AH482">
        <v>0</v>
      </c>
      <c r="AI482">
        <v>0</v>
      </c>
      <c r="AJ482">
        <v>0</v>
      </c>
      <c r="AK482">
        <v>0</v>
      </c>
      <c r="AL482">
        <v>0</v>
      </c>
      <c r="AM482">
        <v>0</v>
      </c>
      <c r="AN482">
        <v>25</v>
      </c>
      <c r="AO482">
        <v>0</v>
      </c>
      <c r="AP482">
        <v>0</v>
      </c>
      <c r="AQ482">
        <v>21</v>
      </c>
      <c r="AR482">
        <v>0</v>
      </c>
      <c r="AS482">
        <v>0</v>
      </c>
      <c r="AT482">
        <v>0</v>
      </c>
      <c r="AU482">
        <v>21</v>
      </c>
      <c r="AV482">
        <v>0</v>
      </c>
      <c r="AW482">
        <v>1</v>
      </c>
      <c r="AX482">
        <v>0</v>
      </c>
      <c r="AY482">
        <v>1</v>
      </c>
    </row>
    <row r="483" spans="1:51" x14ac:dyDescent="0.3">
      <c r="A483" t="s">
        <v>364</v>
      </c>
      <c r="B483" t="s">
        <v>173</v>
      </c>
      <c r="C483" t="s">
        <v>578</v>
      </c>
      <c r="D483" t="s">
        <v>621</v>
      </c>
      <c r="E483" t="s">
        <v>172</v>
      </c>
      <c r="F483">
        <v>0</v>
      </c>
      <c r="G483">
        <v>0</v>
      </c>
      <c r="H483">
        <v>0</v>
      </c>
      <c r="I483">
        <v>0</v>
      </c>
      <c r="J483">
        <v>0</v>
      </c>
      <c r="K483">
        <v>0</v>
      </c>
      <c r="L483">
        <v>0</v>
      </c>
      <c r="M483">
        <v>0</v>
      </c>
      <c r="N483">
        <v>0</v>
      </c>
      <c r="O483">
        <v>0</v>
      </c>
      <c r="P483">
        <v>0</v>
      </c>
      <c r="Q483">
        <v>0</v>
      </c>
      <c r="R483">
        <v>0</v>
      </c>
      <c r="S483">
        <v>0</v>
      </c>
      <c r="T483">
        <v>0</v>
      </c>
      <c r="U483">
        <v>0</v>
      </c>
      <c r="V483">
        <v>0</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0</v>
      </c>
      <c r="AR483">
        <v>0</v>
      </c>
      <c r="AS483">
        <v>0</v>
      </c>
      <c r="AT483">
        <v>0</v>
      </c>
      <c r="AU483">
        <v>0</v>
      </c>
      <c r="AV483">
        <v>0</v>
      </c>
      <c r="AW483">
        <v>0</v>
      </c>
      <c r="AX483">
        <v>0</v>
      </c>
      <c r="AY483">
        <v>0</v>
      </c>
    </row>
    <row r="484" spans="1:51" x14ac:dyDescent="0.3">
      <c r="A484" t="s">
        <v>364</v>
      </c>
      <c r="B484" t="s">
        <v>622</v>
      </c>
      <c r="C484" t="s">
        <v>623</v>
      </c>
      <c r="D484" t="s">
        <v>624</v>
      </c>
      <c r="E484" t="s">
        <v>55</v>
      </c>
      <c r="F484">
        <v>0</v>
      </c>
      <c r="G484">
        <v>0</v>
      </c>
      <c r="H484">
        <v>0</v>
      </c>
      <c r="I484">
        <v>0</v>
      </c>
      <c r="J484">
        <v>0</v>
      </c>
      <c r="K484">
        <v>0</v>
      </c>
      <c r="L484">
        <v>6053</v>
      </c>
      <c r="M484">
        <v>94</v>
      </c>
      <c r="N484">
        <v>103</v>
      </c>
      <c r="O484">
        <v>39</v>
      </c>
      <c r="P484">
        <v>868</v>
      </c>
      <c r="Q484">
        <v>868</v>
      </c>
      <c r="R484">
        <v>708</v>
      </c>
      <c r="S484">
        <v>1578</v>
      </c>
      <c r="T484">
        <v>808</v>
      </c>
      <c r="U484">
        <v>2</v>
      </c>
      <c r="V484">
        <v>3</v>
      </c>
      <c r="W484">
        <v>0</v>
      </c>
      <c r="X484">
        <v>908</v>
      </c>
      <c r="Y484">
        <v>764</v>
      </c>
      <c r="Z484">
        <v>4</v>
      </c>
      <c r="AA484">
        <v>4</v>
      </c>
      <c r="AB484">
        <v>530</v>
      </c>
      <c r="AC484">
        <v>10</v>
      </c>
      <c r="AD484">
        <v>4</v>
      </c>
      <c r="AE484">
        <v>21</v>
      </c>
      <c r="AF484">
        <v>544</v>
      </c>
      <c r="AG484">
        <v>0</v>
      </c>
      <c r="AH484">
        <v>0</v>
      </c>
      <c r="AI484">
        <v>0</v>
      </c>
      <c r="AJ484">
        <v>0</v>
      </c>
      <c r="AK484">
        <v>0</v>
      </c>
      <c r="AL484">
        <v>40</v>
      </c>
      <c r="AM484">
        <v>40</v>
      </c>
      <c r="AN484">
        <v>13</v>
      </c>
      <c r="AO484">
        <v>0</v>
      </c>
      <c r="AP484">
        <v>1</v>
      </c>
      <c r="AQ484">
        <v>0</v>
      </c>
      <c r="AR484">
        <v>0</v>
      </c>
      <c r="AS484">
        <v>0</v>
      </c>
      <c r="AT484">
        <v>0</v>
      </c>
      <c r="AU484">
        <v>0</v>
      </c>
      <c r="AV484">
        <v>522</v>
      </c>
      <c r="AW484">
        <v>88</v>
      </c>
      <c r="AX484">
        <v>31</v>
      </c>
      <c r="AY484">
        <v>16</v>
      </c>
    </row>
    <row r="485" spans="1:51" x14ac:dyDescent="0.3">
      <c r="A485" t="s">
        <v>364</v>
      </c>
      <c r="B485" t="s">
        <v>622</v>
      </c>
      <c r="C485" t="s">
        <v>623</v>
      </c>
      <c r="D485" t="s">
        <v>625</v>
      </c>
      <c r="E485" t="s">
        <v>55</v>
      </c>
      <c r="F485">
        <v>0</v>
      </c>
      <c r="G485">
        <v>0</v>
      </c>
      <c r="H485">
        <v>0</v>
      </c>
      <c r="I485">
        <v>0</v>
      </c>
      <c r="J485">
        <v>0</v>
      </c>
      <c r="K485">
        <v>0</v>
      </c>
      <c r="L485">
        <v>2753</v>
      </c>
      <c r="M485">
        <v>38</v>
      </c>
      <c r="N485">
        <v>48</v>
      </c>
      <c r="O485">
        <v>26</v>
      </c>
      <c r="P485">
        <v>346</v>
      </c>
      <c r="Q485">
        <v>346</v>
      </c>
      <c r="R485">
        <v>0</v>
      </c>
      <c r="S485">
        <v>1381</v>
      </c>
      <c r="T485">
        <v>3</v>
      </c>
      <c r="U485">
        <v>0</v>
      </c>
      <c r="V485">
        <v>5</v>
      </c>
      <c r="W485">
        <v>0</v>
      </c>
      <c r="X485">
        <v>641</v>
      </c>
      <c r="Y485">
        <v>368</v>
      </c>
      <c r="Z485">
        <v>3</v>
      </c>
      <c r="AA485">
        <v>7</v>
      </c>
      <c r="AB485">
        <v>222</v>
      </c>
      <c r="AC485">
        <v>4</v>
      </c>
      <c r="AD485">
        <v>2</v>
      </c>
      <c r="AE485">
        <v>15</v>
      </c>
      <c r="AF485">
        <v>300</v>
      </c>
      <c r="AG485">
        <v>0</v>
      </c>
      <c r="AH485">
        <v>0</v>
      </c>
      <c r="AI485">
        <v>0</v>
      </c>
      <c r="AJ485">
        <v>0</v>
      </c>
      <c r="AK485">
        <v>0</v>
      </c>
      <c r="AL485">
        <v>12</v>
      </c>
      <c r="AM485">
        <v>12</v>
      </c>
      <c r="AN485">
        <v>6</v>
      </c>
      <c r="AO485">
        <v>6</v>
      </c>
      <c r="AP485">
        <v>0</v>
      </c>
      <c r="AQ485">
        <v>0</v>
      </c>
      <c r="AR485">
        <v>0</v>
      </c>
      <c r="AS485">
        <v>0</v>
      </c>
      <c r="AT485">
        <v>0</v>
      </c>
      <c r="AU485">
        <v>0</v>
      </c>
      <c r="AV485">
        <v>211</v>
      </c>
      <c r="AW485">
        <v>30</v>
      </c>
      <c r="AX485">
        <v>18</v>
      </c>
      <c r="AY485">
        <v>12</v>
      </c>
    </row>
  </sheetData>
  <sheetProtection algorithmName="SHA-512" hashValue="31QXepWY+KsM9oaoGMTE0eoZ2Kjn8dhlQawsjsARcrMFSMvMMjRPqUs1LN8JCQQpxXr76Fynsz7YvYtvEYtm/Q==" saltValue="T2qwzYV0rsGGV3yBpgCfyA==" spinCount="100000" sheet="1" objects="1" scenarios="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59CE20-C37D-4574-96DD-316ACA866363}">
  <sheetPr>
    <tabColor rgb="FF0070C0"/>
  </sheetPr>
  <dimension ref="A1:H11"/>
  <sheetViews>
    <sheetView workbookViewId="0">
      <selection activeCell="M6" sqref="M6"/>
    </sheetView>
  </sheetViews>
  <sheetFormatPr defaultRowHeight="14.4" x14ac:dyDescent="0.3"/>
  <cols>
    <col min="1" max="1" width="12.5546875" bestFit="1" customWidth="1"/>
    <col min="2" max="2" width="51.6640625" bestFit="1" customWidth="1"/>
  </cols>
  <sheetData>
    <row r="1" spans="1:8" x14ac:dyDescent="0.3">
      <c r="A1" s="1" t="s">
        <v>626</v>
      </c>
      <c r="B1" t="s">
        <v>643</v>
      </c>
    </row>
    <row r="2" spans="1:8" x14ac:dyDescent="0.3">
      <c r="A2" s="2" t="s">
        <v>51</v>
      </c>
      <c r="B2" s="10">
        <v>2031</v>
      </c>
    </row>
    <row r="3" spans="1:8" x14ac:dyDescent="0.3">
      <c r="A3" s="2" t="s">
        <v>181</v>
      </c>
      <c r="B3" s="10">
        <v>4290</v>
      </c>
    </row>
    <row r="4" spans="1:8" x14ac:dyDescent="0.3">
      <c r="A4" s="2" t="s">
        <v>364</v>
      </c>
      <c r="B4" s="10">
        <v>6799</v>
      </c>
    </row>
    <row r="5" spans="1:8" x14ac:dyDescent="0.3">
      <c r="A5" s="2" t="s">
        <v>627</v>
      </c>
      <c r="B5" s="10">
        <v>13120</v>
      </c>
      <c r="H5" s="4"/>
    </row>
    <row r="8" spans="1:8" x14ac:dyDescent="0.3">
      <c r="A8" s="2" t="s">
        <v>51</v>
      </c>
      <c r="B8">
        <f>IFERROR(GETPIVOTDATA("1.1 :: Total number of NEW Pregnant Women registered for ANC ",$A$1,"Sub-District / ULB Name","Karkal"),0)</f>
        <v>2031</v>
      </c>
    </row>
    <row r="9" spans="1:8" x14ac:dyDescent="0.3">
      <c r="A9" s="2" t="s">
        <v>181</v>
      </c>
      <c r="B9">
        <f>IFERROR(GETPIVOTDATA("1.1 :: Total number of NEW Pregnant Women registered for ANC ",$A$1,"Sub-District / ULB Name","Kundapura"),0)</f>
        <v>4290</v>
      </c>
    </row>
    <row r="10" spans="1:8" x14ac:dyDescent="0.3">
      <c r="A10" s="2" t="s">
        <v>364</v>
      </c>
      <c r="B10">
        <f>IFERROR(GETPIVOTDATA("1.1 :: Total number of NEW Pregnant Women registered for ANC ",$A$1,"Sub-District / ULB Name","Udupi"),0)</f>
        <v>6799</v>
      </c>
    </row>
    <row r="11" spans="1:8" x14ac:dyDescent="0.3">
      <c r="A11" s="2" t="s">
        <v>627</v>
      </c>
      <c r="B11">
        <f>GETPIVOTDATA("1.1 :: Total number of NEW Pregnant Women registered for ANC ",$A$1)</f>
        <v>13120</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9881F-C624-4B4D-927E-C88EFC4B946D}">
  <sheetPr>
    <tabColor rgb="FF0070C0"/>
  </sheetPr>
  <dimension ref="A1:D5"/>
  <sheetViews>
    <sheetView workbookViewId="0">
      <selection activeCell="E11" sqref="E11"/>
    </sheetView>
  </sheetViews>
  <sheetFormatPr defaultRowHeight="14.4" x14ac:dyDescent="0.3"/>
  <cols>
    <col min="1" max="1" width="12.5546875" bestFit="1" customWidth="1"/>
    <col min="2" max="2" width="20" bestFit="1" customWidth="1"/>
    <col min="3" max="3" width="21.77734375" bestFit="1" customWidth="1"/>
    <col min="4" max="4" width="20" bestFit="1" customWidth="1"/>
    <col min="6" max="6" width="15.5546875" customWidth="1"/>
  </cols>
  <sheetData>
    <row r="1" spans="1:4" x14ac:dyDescent="0.3">
      <c r="A1" s="1" t="s">
        <v>626</v>
      </c>
      <c r="B1" t="s">
        <v>628</v>
      </c>
      <c r="C1" t="s">
        <v>629</v>
      </c>
      <c r="D1" t="s">
        <v>630</v>
      </c>
    </row>
    <row r="2" spans="1:4" x14ac:dyDescent="0.3">
      <c r="A2" s="2" t="s">
        <v>51</v>
      </c>
      <c r="B2" s="10">
        <v>7</v>
      </c>
      <c r="C2" s="10">
        <v>2</v>
      </c>
      <c r="D2" s="10">
        <v>0</v>
      </c>
    </row>
    <row r="3" spans="1:4" x14ac:dyDescent="0.3">
      <c r="A3" s="2" t="s">
        <v>181</v>
      </c>
      <c r="B3" s="10">
        <v>0</v>
      </c>
      <c r="C3" s="10">
        <v>1</v>
      </c>
      <c r="D3" s="10">
        <v>7</v>
      </c>
    </row>
    <row r="4" spans="1:4" x14ac:dyDescent="0.3">
      <c r="A4" s="2" t="s">
        <v>364</v>
      </c>
      <c r="B4" s="10">
        <v>2</v>
      </c>
      <c r="C4" s="10">
        <v>5</v>
      </c>
      <c r="D4" s="10">
        <v>4</v>
      </c>
    </row>
    <row r="5" spans="1:4" x14ac:dyDescent="0.3">
      <c r="A5" s="2" t="s">
        <v>627</v>
      </c>
      <c r="B5" s="10">
        <v>9</v>
      </c>
      <c r="C5" s="10">
        <v>8</v>
      </c>
      <c r="D5" s="10">
        <v>11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70F6D-788F-463E-AF66-5996EA8C2114}">
  <sheetPr>
    <tabColor rgb="FF0070C0"/>
  </sheetPr>
  <dimension ref="A1:D11"/>
  <sheetViews>
    <sheetView workbookViewId="0">
      <selection activeCell="C4" sqref="C4"/>
    </sheetView>
  </sheetViews>
  <sheetFormatPr defaultRowHeight="14.4" x14ac:dyDescent="0.3"/>
  <cols>
    <col min="1" max="1" width="12.5546875" bestFit="1" customWidth="1"/>
    <col min="2" max="3" width="35.5546875" bestFit="1" customWidth="1"/>
    <col min="4" max="4" width="47.21875" bestFit="1" customWidth="1"/>
  </cols>
  <sheetData>
    <row r="1" spans="1:4" x14ac:dyDescent="0.3">
      <c r="A1" s="1" t="s">
        <v>626</v>
      </c>
      <c r="B1" t="s">
        <v>633</v>
      </c>
      <c r="C1" t="s">
        <v>634</v>
      </c>
      <c r="D1" t="s">
        <v>635</v>
      </c>
    </row>
    <row r="2" spans="1:4" x14ac:dyDescent="0.3">
      <c r="A2" s="2" t="s">
        <v>51</v>
      </c>
      <c r="B2" s="10">
        <v>1162</v>
      </c>
      <c r="C2" s="10">
        <v>1050</v>
      </c>
      <c r="D2" s="10">
        <v>144</v>
      </c>
    </row>
    <row r="3" spans="1:4" x14ac:dyDescent="0.3">
      <c r="A3" s="2" t="s">
        <v>181</v>
      </c>
      <c r="B3" s="10">
        <v>2039</v>
      </c>
      <c r="C3" s="10">
        <v>1852</v>
      </c>
      <c r="D3" s="10">
        <v>301</v>
      </c>
    </row>
    <row r="4" spans="1:4" x14ac:dyDescent="0.3">
      <c r="A4" s="2" t="s">
        <v>364</v>
      </c>
      <c r="B4" s="10">
        <v>4079</v>
      </c>
      <c r="C4" s="10">
        <v>3372</v>
      </c>
      <c r="D4" s="10">
        <v>1328</v>
      </c>
    </row>
    <row r="5" spans="1:4" x14ac:dyDescent="0.3">
      <c r="A5" s="2" t="s">
        <v>627</v>
      </c>
      <c r="B5" s="10">
        <v>7280</v>
      </c>
      <c r="C5" s="10">
        <v>6274</v>
      </c>
      <c r="D5" s="10">
        <v>1773</v>
      </c>
    </row>
    <row r="8" spans="1:4" x14ac:dyDescent="0.3">
      <c r="A8" s="2" t="s">
        <v>636</v>
      </c>
      <c r="B8" t="s">
        <v>633</v>
      </c>
      <c r="C8" t="s">
        <v>634</v>
      </c>
      <c r="D8" t="s">
        <v>635</v>
      </c>
    </row>
    <row r="9" spans="1:4" x14ac:dyDescent="0.3">
      <c r="A9" t="str">
        <f>A2</f>
        <v>Karkal</v>
      </c>
      <c r="B9">
        <f>GETPIVOTDATA("PW given Td1 (Tetanus Diptheria dose 1)",$A$1,"Sub-District / ULB Name",A9)</f>
        <v>1162</v>
      </c>
      <c r="C9">
        <f>GETPIVOTDATA("PW given Td2 (Tetanus Diptheria dose 2)",$A$1,"Sub-District / ULB Name",A9)</f>
        <v>1050</v>
      </c>
      <c r="D9">
        <f>GETPIVOTDATA("PW given Td Booster (Tetanus Diptheria dose booster)",$A$1,"Sub-District / ULB Name",A9)</f>
        <v>144</v>
      </c>
    </row>
    <row r="10" spans="1:4" x14ac:dyDescent="0.3">
      <c r="A10" t="str">
        <f t="shared" ref="A10:A11" si="0">A3</f>
        <v>Kundapura</v>
      </c>
      <c r="B10">
        <f t="shared" ref="B10:B11" si="1">GETPIVOTDATA("PW given Td1 (Tetanus Diptheria dose 1)",$A$1,"Sub-District / ULB Name",A10)</f>
        <v>2039</v>
      </c>
      <c r="C10">
        <f t="shared" ref="C10:C11" si="2">GETPIVOTDATA("PW given Td2 (Tetanus Diptheria dose 2)",$A$1,"Sub-District / ULB Name",A10)</f>
        <v>1852</v>
      </c>
      <c r="D10">
        <f t="shared" ref="D10:D11" si="3">GETPIVOTDATA("PW given Td Booster (Tetanus Diptheria dose booster)",$A$1,"Sub-District / ULB Name",A10)</f>
        <v>301</v>
      </c>
    </row>
    <row r="11" spans="1:4" x14ac:dyDescent="0.3">
      <c r="A11" t="str">
        <f t="shared" si="0"/>
        <v>Udupi</v>
      </c>
      <c r="B11">
        <f t="shared" si="1"/>
        <v>4079</v>
      </c>
      <c r="C11">
        <f t="shared" si="2"/>
        <v>3372</v>
      </c>
      <c r="D11">
        <f t="shared" si="3"/>
        <v>1328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626111-3786-44E0-8A7B-B26669E27942}">
  <sheetPr>
    <tabColor rgb="FF92D050"/>
  </sheetPr>
  <dimension ref="A1:E26"/>
  <sheetViews>
    <sheetView workbookViewId="0">
      <selection activeCell="C7" sqref="C7"/>
    </sheetView>
  </sheetViews>
  <sheetFormatPr defaultRowHeight="14.4" x14ac:dyDescent="0.3"/>
  <cols>
    <col min="1" max="1" width="12.5546875" bestFit="1" customWidth="1"/>
    <col min="2" max="2" width="40.21875" bestFit="1" customWidth="1"/>
    <col min="3" max="3" width="46" bestFit="1" customWidth="1"/>
    <col min="4" max="4" width="12.77734375" customWidth="1"/>
  </cols>
  <sheetData>
    <row r="1" spans="1:5" x14ac:dyDescent="0.3">
      <c r="A1" s="1" t="s">
        <v>626</v>
      </c>
      <c r="B1" t="s">
        <v>644</v>
      </c>
    </row>
    <row r="2" spans="1:5" x14ac:dyDescent="0.3">
      <c r="A2" s="2" t="s">
        <v>51</v>
      </c>
      <c r="B2" s="10">
        <v>24</v>
      </c>
      <c r="D2" t="str">
        <f>A2</f>
        <v>Karkal</v>
      </c>
      <c r="E2">
        <f>IFERROR(GETPIVOTDATA("1.3.1 :: New cases of PW with hypertension detected ",$A$1,"Sub-District / ULB Name",A2),0)</f>
        <v>24</v>
      </c>
    </row>
    <row r="3" spans="1:5" x14ac:dyDescent="0.3">
      <c r="A3" s="2" t="s">
        <v>181</v>
      </c>
      <c r="B3" s="10">
        <v>122</v>
      </c>
      <c r="D3" t="str">
        <f t="shared" ref="D3:D5" si="0">A3</f>
        <v>Kundapura</v>
      </c>
      <c r="E3">
        <f t="shared" ref="E3:E4" si="1">IFERROR(GETPIVOTDATA("1.3.1 :: New cases of PW with hypertension detected ",$A$1,"Sub-District / ULB Name",A3),0)</f>
        <v>122</v>
      </c>
    </row>
    <row r="4" spans="1:5" x14ac:dyDescent="0.3">
      <c r="A4" s="2" t="s">
        <v>364</v>
      </c>
      <c r="B4" s="10">
        <v>498</v>
      </c>
      <c r="D4" t="str">
        <f t="shared" si="0"/>
        <v>Udupi</v>
      </c>
      <c r="E4">
        <f t="shared" si="1"/>
        <v>498</v>
      </c>
    </row>
    <row r="5" spans="1:5" x14ac:dyDescent="0.3">
      <c r="A5" s="2" t="s">
        <v>627</v>
      </c>
      <c r="B5" s="10">
        <v>644</v>
      </c>
      <c r="D5" t="str">
        <f t="shared" si="0"/>
        <v>Grand Total</v>
      </c>
      <c r="E5">
        <f>GETPIVOTDATA("1.3.1 :: New cases of PW with hypertension detected ",$A$1)</f>
        <v>644</v>
      </c>
    </row>
    <row r="16" spans="1:5" x14ac:dyDescent="0.3">
      <c r="A16" s="1" t="s">
        <v>626</v>
      </c>
      <c r="B16" t="s">
        <v>641</v>
      </c>
      <c r="C16" t="s">
        <v>642</v>
      </c>
    </row>
    <row r="17" spans="1:3" x14ac:dyDescent="0.3">
      <c r="A17" s="2" t="s">
        <v>51</v>
      </c>
      <c r="B17" s="10">
        <v>33</v>
      </c>
      <c r="C17" s="10">
        <v>3</v>
      </c>
    </row>
    <row r="18" spans="1:3" x14ac:dyDescent="0.3">
      <c r="A18" s="3" t="s">
        <v>172</v>
      </c>
      <c r="B18" s="10">
        <v>17</v>
      </c>
      <c r="C18" s="10">
        <v>1</v>
      </c>
    </row>
    <row r="19" spans="1:3" x14ac:dyDescent="0.3">
      <c r="A19" s="3" t="s">
        <v>55</v>
      </c>
      <c r="B19" s="10">
        <v>16</v>
      </c>
      <c r="C19" s="10">
        <v>2</v>
      </c>
    </row>
    <row r="20" spans="1:3" x14ac:dyDescent="0.3">
      <c r="A20" s="2" t="s">
        <v>181</v>
      </c>
      <c r="B20" s="10">
        <v>114</v>
      </c>
      <c r="C20" s="10">
        <v>2</v>
      </c>
    </row>
    <row r="21" spans="1:3" x14ac:dyDescent="0.3">
      <c r="A21" s="3" t="s">
        <v>172</v>
      </c>
      <c r="B21" s="10">
        <v>66</v>
      </c>
      <c r="C21" s="10">
        <v>2</v>
      </c>
    </row>
    <row r="22" spans="1:3" x14ac:dyDescent="0.3">
      <c r="A22" s="3" t="s">
        <v>55</v>
      </c>
      <c r="B22" s="10">
        <v>48</v>
      </c>
      <c r="C22" s="10">
        <v>0</v>
      </c>
    </row>
    <row r="23" spans="1:3" x14ac:dyDescent="0.3">
      <c r="A23" s="2" t="s">
        <v>364</v>
      </c>
      <c r="B23" s="10">
        <v>518</v>
      </c>
      <c r="C23" s="10">
        <v>24</v>
      </c>
    </row>
    <row r="24" spans="1:3" x14ac:dyDescent="0.3">
      <c r="A24" s="3" t="s">
        <v>172</v>
      </c>
      <c r="B24" s="10">
        <v>500</v>
      </c>
      <c r="C24" s="10">
        <v>24</v>
      </c>
    </row>
    <row r="25" spans="1:3" x14ac:dyDescent="0.3">
      <c r="A25" s="3" t="s">
        <v>55</v>
      </c>
      <c r="B25" s="10">
        <v>18</v>
      </c>
      <c r="C25" s="10">
        <v>0</v>
      </c>
    </row>
    <row r="26" spans="1:3" x14ac:dyDescent="0.3">
      <c r="A26" s="2" t="s">
        <v>627</v>
      </c>
      <c r="B26" s="10">
        <v>665</v>
      </c>
      <c r="C26" s="10">
        <v>29</v>
      </c>
    </row>
  </sheetData>
  <pageMargins left="0.7" right="0.7" top="0.75" bottom="0.75" header="0.3" footer="0.3"/>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D43AA3-0CF7-424D-BFFC-0BA6B40F8E42}">
  <sheetPr>
    <tabColor rgb="FF0070C0"/>
  </sheetPr>
  <dimension ref="A2:E14"/>
  <sheetViews>
    <sheetView topLeftCell="J4" workbookViewId="0">
      <selection activeCell="K23" sqref="K23"/>
    </sheetView>
  </sheetViews>
  <sheetFormatPr defaultRowHeight="14.4" x14ac:dyDescent="0.3"/>
  <cols>
    <col min="1" max="1" width="12.5546875" bestFit="1" customWidth="1"/>
    <col min="2" max="2" width="24.33203125" bestFit="1" customWidth="1"/>
    <col min="3" max="4" width="38.21875" bestFit="1" customWidth="1"/>
  </cols>
  <sheetData>
    <row r="2" spans="1:5" x14ac:dyDescent="0.3">
      <c r="A2" s="1" t="s">
        <v>626</v>
      </c>
      <c r="B2" t="s">
        <v>645</v>
      </c>
    </row>
    <row r="3" spans="1:5" x14ac:dyDescent="0.3">
      <c r="A3" s="2" t="s">
        <v>51</v>
      </c>
      <c r="B3" s="10">
        <v>1766</v>
      </c>
      <c r="D3" t="str">
        <f>A3</f>
        <v>Karkal</v>
      </c>
      <c r="E3">
        <f>IFERROR(GETPIVOTDATA("1.4.1 :: Number of PW tested for Haemoglobin (Hb ) 4 or more than 4 times for respective ANCs",$A$2,"Sub-District / ULB Name",A3),0)</f>
        <v>1766</v>
      </c>
    </row>
    <row r="4" spans="1:5" x14ac:dyDescent="0.3">
      <c r="A4" s="2" t="s">
        <v>181</v>
      </c>
      <c r="B4" s="10">
        <v>3480</v>
      </c>
      <c r="D4" t="str">
        <f t="shared" ref="D4:D6" si="0">A4</f>
        <v>Kundapura</v>
      </c>
      <c r="E4">
        <f t="shared" ref="E4:E5" si="1">IFERROR(GETPIVOTDATA("1.4.1 :: Number of PW tested for Haemoglobin (Hb ) 4 or more than 4 times for respective ANCs",$A$2,"Sub-District / ULB Name",A4),0)</f>
        <v>3480</v>
      </c>
    </row>
    <row r="5" spans="1:5" x14ac:dyDescent="0.3">
      <c r="A5" s="2" t="s">
        <v>364</v>
      </c>
      <c r="B5" s="10">
        <v>5227</v>
      </c>
      <c r="D5" t="str">
        <f t="shared" si="0"/>
        <v>Udupi</v>
      </c>
      <c r="E5">
        <f t="shared" si="1"/>
        <v>5227</v>
      </c>
    </row>
    <row r="6" spans="1:5" x14ac:dyDescent="0.3">
      <c r="A6" s="2" t="s">
        <v>627</v>
      </c>
      <c r="B6" s="10">
        <v>10473</v>
      </c>
      <c r="D6" t="str">
        <f t="shared" si="0"/>
        <v>Grand Total</v>
      </c>
      <c r="E6">
        <f>GETPIVOTDATA("1.4.1 :: Number of PW tested for Haemoglobin (Hb ) 4 or more than 4 times for respective ANCs",$A$2)</f>
        <v>10473</v>
      </c>
    </row>
    <row r="10" spans="1:5" x14ac:dyDescent="0.3">
      <c r="A10" s="1" t="s">
        <v>626</v>
      </c>
      <c r="B10" t="s">
        <v>631</v>
      </c>
      <c r="C10" t="s">
        <v>632</v>
      </c>
    </row>
    <row r="11" spans="1:5" x14ac:dyDescent="0.3">
      <c r="A11" s="2" t="s">
        <v>51</v>
      </c>
      <c r="B11" s="10">
        <v>25</v>
      </c>
      <c r="C11" s="10">
        <v>23</v>
      </c>
    </row>
    <row r="12" spans="1:5" x14ac:dyDescent="0.3">
      <c r="A12" s="2" t="s">
        <v>181</v>
      </c>
      <c r="B12" s="10">
        <v>23</v>
      </c>
      <c r="C12" s="10">
        <v>30</v>
      </c>
    </row>
    <row r="13" spans="1:5" x14ac:dyDescent="0.3">
      <c r="A13" s="2" t="s">
        <v>364</v>
      </c>
      <c r="B13" s="10">
        <v>153</v>
      </c>
      <c r="C13" s="10">
        <v>152</v>
      </c>
    </row>
    <row r="14" spans="1:5" x14ac:dyDescent="0.3">
      <c r="A14" s="2" t="s">
        <v>627</v>
      </c>
      <c r="B14" s="10">
        <v>201</v>
      </c>
      <c r="C14" s="10">
        <v>205</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0CE0AF-8FD4-4F6D-B287-A94565FA6F81}">
  <sheetPr>
    <tabColor rgb="FF92D050"/>
  </sheetPr>
  <dimension ref="A1:E23"/>
  <sheetViews>
    <sheetView workbookViewId="0">
      <selection activeCell="O21" sqref="O21"/>
    </sheetView>
  </sheetViews>
  <sheetFormatPr defaultRowHeight="14.4" x14ac:dyDescent="0.3"/>
  <cols>
    <col min="1" max="1" width="12.5546875" bestFit="1" customWidth="1"/>
    <col min="2" max="2" width="74.44140625" bestFit="1" customWidth="1"/>
    <col min="3" max="3" width="46" bestFit="1" customWidth="1"/>
    <col min="4" max="4" width="49.5546875" bestFit="1" customWidth="1"/>
  </cols>
  <sheetData>
    <row r="1" spans="1:5" x14ac:dyDescent="0.3">
      <c r="A1" s="1" t="s">
        <v>626</v>
      </c>
      <c r="B1" t="s">
        <v>637</v>
      </c>
    </row>
    <row r="2" spans="1:5" x14ac:dyDescent="0.3">
      <c r="A2" s="2" t="s">
        <v>51</v>
      </c>
      <c r="B2" s="10">
        <v>48</v>
      </c>
      <c r="D2" t="str">
        <f>A2</f>
        <v>Karkal</v>
      </c>
      <c r="E2">
        <f>IFERROR(GETPIVOTDATA("1.5.2 :: Number of PW tested positive for GDM out of total OGTT(Oral Glucose Tolerance Test) conducted",$A$1,"Sub-District / ULB Name",A2),0)</f>
        <v>48</v>
      </c>
    </row>
    <row r="3" spans="1:5" x14ac:dyDescent="0.3">
      <c r="A3" s="2" t="s">
        <v>181</v>
      </c>
      <c r="B3" s="10">
        <v>151</v>
      </c>
      <c r="D3" t="str">
        <f t="shared" ref="D3:D5" si="0">A3</f>
        <v>Kundapura</v>
      </c>
      <c r="E3">
        <f t="shared" ref="E3:E4" si="1">IFERROR(GETPIVOTDATA("1.5.2 :: Number of PW tested positive for GDM out of total OGTT(Oral Glucose Tolerance Test) conducted",$A$1,"Sub-District / ULB Name",A3),0)</f>
        <v>151</v>
      </c>
    </row>
    <row r="4" spans="1:5" x14ac:dyDescent="0.3">
      <c r="A4" s="2" t="s">
        <v>364</v>
      </c>
      <c r="B4" s="10">
        <v>900</v>
      </c>
      <c r="D4" t="str">
        <f t="shared" si="0"/>
        <v>Udupi</v>
      </c>
      <c r="E4">
        <f t="shared" si="1"/>
        <v>900</v>
      </c>
    </row>
    <row r="5" spans="1:5" x14ac:dyDescent="0.3">
      <c r="A5" s="2" t="s">
        <v>627</v>
      </c>
      <c r="B5" s="10">
        <v>1099</v>
      </c>
      <c r="D5" t="str">
        <f t="shared" si="0"/>
        <v>Grand Total</v>
      </c>
      <c r="E5">
        <f>GETPIVOTDATA("1.5.2 :: Number of PW tested positive for GDM out of total OGTT(Oral Glucose Tolerance Test) conducted",$A$1)</f>
        <v>1099</v>
      </c>
    </row>
    <row r="11" spans="1:5" x14ac:dyDescent="0.3">
      <c r="A11" s="1" t="s">
        <v>626</v>
      </c>
      <c r="B11" t="s">
        <v>637</v>
      </c>
      <c r="C11" t="s">
        <v>638</v>
      </c>
      <c r="D11" t="s">
        <v>639</v>
      </c>
    </row>
    <row r="12" spans="1:5" x14ac:dyDescent="0.3">
      <c r="A12" s="2" t="s">
        <v>51</v>
      </c>
      <c r="B12" s="10">
        <v>48</v>
      </c>
      <c r="C12" s="10">
        <v>17</v>
      </c>
      <c r="D12" s="10">
        <v>78</v>
      </c>
    </row>
    <row r="13" spans="1:5" x14ac:dyDescent="0.3">
      <c r="A13" s="2" t="s">
        <v>181</v>
      </c>
      <c r="B13" s="10">
        <v>151</v>
      </c>
      <c r="C13" s="10">
        <v>47</v>
      </c>
      <c r="D13" s="10">
        <v>107</v>
      </c>
    </row>
    <row r="14" spans="1:5" x14ac:dyDescent="0.3">
      <c r="A14" s="2" t="s">
        <v>364</v>
      </c>
      <c r="B14" s="10">
        <v>900</v>
      </c>
      <c r="C14" s="10">
        <v>206</v>
      </c>
      <c r="D14" s="10">
        <v>315</v>
      </c>
    </row>
    <row r="15" spans="1:5" x14ac:dyDescent="0.3">
      <c r="A15" s="2" t="s">
        <v>627</v>
      </c>
      <c r="B15" s="10">
        <v>1099</v>
      </c>
      <c r="C15" s="10">
        <v>270</v>
      </c>
      <c r="D15" s="10">
        <v>500</v>
      </c>
    </row>
    <row r="20" spans="1:4" x14ac:dyDescent="0.3">
      <c r="A20" t="s">
        <v>640</v>
      </c>
      <c r="B20" t="s">
        <v>657</v>
      </c>
      <c r="C20" t="s">
        <v>638</v>
      </c>
      <c r="D20" t="s">
        <v>639</v>
      </c>
    </row>
    <row r="21" spans="1:4" x14ac:dyDescent="0.3">
      <c r="A21" t="str">
        <f>A12</f>
        <v>Karkal</v>
      </c>
      <c r="B21">
        <f>GETPIVOTDATA("PW tested positive for GDM out of total OGTT(Oral Glucose Tolerance Test) conducted",$A$11,"Sub-District / ULB Name",A21)</f>
        <v>48</v>
      </c>
      <c r="C21">
        <f>GETPIVOTDATA("PW given Insulin out of total tested positive for GDM",$A$11,"Sub-District / ULB Name",A21)</f>
        <v>17</v>
      </c>
      <c r="D21">
        <f>GETPIVOTDATA("PW given Metformin out of total tested positive for GDM",$A$11,"Sub-District / ULB Name",A21)</f>
        <v>78</v>
      </c>
    </row>
    <row r="22" spans="1:4" x14ac:dyDescent="0.3">
      <c r="A22" t="str">
        <f t="shared" ref="A22:A23" si="2">A13</f>
        <v>Kundapura</v>
      </c>
      <c r="B22">
        <f t="shared" ref="B22:B23" si="3">GETPIVOTDATA("PW tested positive for GDM out of total OGTT(Oral Glucose Tolerance Test) conducted",$A$11,"Sub-District / ULB Name",A22)</f>
        <v>151</v>
      </c>
      <c r="C22">
        <f t="shared" ref="C22:C23" si="4">GETPIVOTDATA("PW given Insulin out of total tested positive for GDM",$A$11,"Sub-District / ULB Name",A22)</f>
        <v>47</v>
      </c>
      <c r="D22">
        <f t="shared" ref="D22:D23" si="5">GETPIVOTDATA("PW given Metformin out of total tested positive for GDM",$A$11,"Sub-District / ULB Name",A22)</f>
        <v>107</v>
      </c>
    </row>
    <row r="23" spans="1:4" x14ac:dyDescent="0.3">
      <c r="A23" t="str">
        <f t="shared" si="2"/>
        <v>Udupi</v>
      </c>
      <c r="B23">
        <f t="shared" si="3"/>
        <v>900</v>
      </c>
      <c r="C23">
        <f t="shared" si="4"/>
        <v>206</v>
      </c>
      <c r="D23">
        <f t="shared" si="5"/>
        <v>315</v>
      </c>
    </row>
  </sheetData>
  <pageMargins left="0.7" right="0.7" top="0.75" bottom="0.75" header="0.3" footer="0.3"/>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8398CE-6DF7-422E-B62A-BDE3F07C8985}">
  <dimension ref="A1:E19"/>
  <sheetViews>
    <sheetView workbookViewId="0">
      <selection activeCell="B3" sqref="B3"/>
    </sheetView>
  </sheetViews>
  <sheetFormatPr defaultRowHeight="14.4" x14ac:dyDescent="0.3"/>
  <cols>
    <col min="1" max="1" width="12.5546875" bestFit="1" customWidth="1"/>
    <col min="2" max="2" width="60.33203125" bestFit="1" customWidth="1"/>
    <col min="3" max="3" width="9.6640625" customWidth="1"/>
    <col min="4" max="4" width="13.33203125" customWidth="1"/>
  </cols>
  <sheetData>
    <row r="1" spans="1:5" x14ac:dyDescent="0.3">
      <c r="A1" s="1" t="s">
        <v>626</v>
      </c>
      <c r="B1" t="s">
        <v>646</v>
      </c>
    </row>
    <row r="2" spans="1:5" x14ac:dyDescent="0.3">
      <c r="A2" s="2" t="s">
        <v>51</v>
      </c>
      <c r="B2" s="10">
        <v>33</v>
      </c>
      <c r="D2" t="str">
        <f>A2</f>
        <v>Karkal</v>
      </c>
      <c r="E2">
        <f>IFERROR(GETPIVOTDATA("1.6.1.b :: Number of pregnant/DIL women found Seropositive for Syphilis by VDRL/RPR/TPHA/RDT/PoC test",$A$1,"Sub-District / ULB Name",A2),0)</f>
        <v>33</v>
      </c>
    </row>
    <row r="3" spans="1:5" x14ac:dyDescent="0.3">
      <c r="A3" s="2" t="s">
        <v>181</v>
      </c>
      <c r="B3" s="10">
        <v>46</v>
      </c>
      <c r="D3" t="str">
        <f t="shared" ref="D3:D5" si="0">A3</f>
        <v>Kundapura</v>
      </c>
      <c r="E3">
        <f t="shared" ref="E3:E4" si="1">IFERROR(GETPIVOTDATA("1.6.1.b :: Number of pregnant/DIL women found Seropositive for Syphilis by VDRL/RPR/TPHA/RDT/PoC test",$A$1,"Sub-District / ULB Name",A3),0)</f>
        <v>46</v>
      </c>
    </row>
    <row r="4" spans="1:5" x14ac:dyDescent="0.3">
      <c r="A4" s="2" t="s">
        <v>364</v>
      </c>
      <c r="B4" s="10">
        <v>2</v>
      </c>
      <c r="D4" t="str">
        <f t="shared" si="0"/>
        <v>Udupi</v>
      </c>
      <c r="E4">
        <f t="shared" si="1"/>
        <v>2</v>
      </c>
    </row>
    <row r="5" spans="1:5" x14ac:dyDescent="0.3">
      <c r="A5" s="2" t="s">
        <v>627</v>
      </c>
      <c r="B5" s="10">
        <v>81</v>
      </c>
      <c r="D5" t="str">
        <f t="shared" si="0"/>
        <v>Grand Total</v>
      </c>
      <c r="E5">
        <f>GETPIVOTDATA("1.6.1.b :: Number of pregnant/DIL women found Seropositive for Syphilis by VDRL/RPR/TPHA/RDT/PoC test",$A$1)</f>
        <v>81</v>
      </c>
    </row>
    <row r="16" spans="1:5" x14ac:dyDescent="0.3">
      <c r="A16" s="2"/>
    </row>
    <row r="17" spans="1:1" x14ac:dyDescent="0.3">
      <c r="A17" s="2"/>
    </row>
    <row r="18" spans="1:1" x14ac:dyDescent="0.3">
      <c r="A18" s="2"/>
    </row>
    <row r="19" spans="1:1" x14ac:dyDescent="0.3">
      <c r="A19"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C7458-827E-4806-8699-8ECCF1C50E9E}">
  <dimension ref="A1:M13"/>
  <sheetViews>
    <sheetView workbookViewId="0">
      <selection activeCell="B28" sqref="B28"/>
    </sheetView>
  </sheetViews>
  <sheetFormatPr defaultRowHeight="14.4" x14ac:dyDescent="0.3"/>
  <cols>
    <col min="1" max="1" width="12.5546875" bestFit="1" customWidth="1"/>
    <col min="2" max="2" width="40.44140625" bestFit="1" customWidth="1"/>
    <col min="3" max="3" width="58.88671875" bestFit="1" customWidth="1"/>
    <col min="4" max="4" width="12.88671875" customWidth="1"/>
    <col min="9" max="9" width="12.5546875" bestFit="1" customWidth="1"/>
    <col min="10" max="10" width="46.5546875" bestFit="1" customWidth="1"/>
    <col min="12" max="12" width="12.88671875" customWidth="1"/>
  </cols>
  <sheetData>
    <row r="1" spans="1:13" x14ac:dyDescent="0.3">
      <c r="A1" s="1" t="s">
        <v>626</v>
      </c>
      <c r="B1" t="s">
        <v>648</v>
      </c>
      <c r="I1" s="1" t="s">
        <v>626</v>
      </c>
      <c r="J1" t="s">
        <v>647</v>
      </c>
    </row>
    <row r="2" spans="1:13" x14ac:dyDescent="0.3">
      <c r="A2" s="2" t="s">
        <v>51</v>
      </c>
      <c r="B2" s="10">
        <v>4</v>
      </c>
      <c r="D2" t="str">
        <f>A2</f>
        <v>Karkal</v>
      </c>
      <c r="E2">
        <f>IFERROR(GETPIVOTDATA("1.8.2 :: Number of Pregnant Women identified  with Presumptive TB symptoms",$A$1,"Sub-District / ULB Name",A2),0)</f>
        <v>4</v>
      </c>
      <c r="I2" s="2" t="s">
        <v>51</v>
      </c>
      <c r="J2" s="10">
        <v>57</v>
      </c>
      <c r="L2" t="str">
        <f>I2</f>
        <v>Karkal</v>
      </c>
      <c r="M2">
        <f>IFERROR(GETPIVOTDATA("1.7.1 :: Number of Pregnant Women tested positive for Thyroid disorder",$I$1,"Sub-District / ULB Name",I2),0)</f>
        <v>57</v>
      </c>
    </row>
    <row r="3" spans="1:13" x14ac:dyDescent="0.3">
      <c r="A3" s="2" t="s">
        <v>181</v>
      </c>
      <c r="B3" s="10">
        <v>7</v>
      </c>
      <c r="D3" t="str">
        <f t="shared" ref="D3:D5" si="0">A3</f>
        <v>Kundapura</v>
      </c>
      <c r="E3">
        <f t="shared" ref="E3:E4" si="1">IFERROR(GETPIVOTDATA("1.8.2 :: Number of Pregnant Women identified  with Presumptive TB symptoms",$A$1,"Sub-District / ULB Name",A3),0)</f>
        <v>7</v>
      </c>
      <c r="I3" s="2" t="s">
        <v>181</v>
      </c>
      <c r="J3" s="10">
        <v>65</v>
      </c>
      <c r="L3" t="str">
        <f t="shared" ref="L3:L5" si="2">I3</f>
        <v>Kundapura</v>
      </c>
      <c r="M3">
        <f t="shared" ref="M3:M4" si="3">IFERROR(GETPIVOTDATA("1.7.1 :: Number of Pregnant Women tested positive for Thyroid disorder",$I$1,"Sub-District / ULB Name",I3),0)</f>
        <v>65</v>
      </c>
    </row>
    <row r="4" spans="1:13" x14ac:dyDescent="0.3">
      <c r="A4" s="2" t="s">
        <v>364</v>
      </c>
      <c r="B4" s="10">
        <v>15</v>
      </c>
      <c r="D4" t="str">
        <f t="shared" si="0"/>
        <v>Udupi</v>
      </c>
      <c r="E4">
        <f t="shared" si="1"/>
        <v>15</v>
      </c>
      <c r="I4" s="2" t="s">
        <v>364</v>
      </c>
      <c r="J4" s="10">
        <v>799</v>
      </c>
      <c r="L4" t="str">
        <f t="shared" si="2"/>
        <v>Udupi</v>
      </c>
      <c r="M4">
        <f t="shared" si="3"/>
        <v>799</v>
      </c>
    </row>
    <row r="5" spans="1:13" x14ac:dyDescent="0.3">
      <c r="A5" s="2" t="s">
        <v>627</v>
      </c>
      <c r="B5" s="10">
        <v>26</v>
      </c>
      <c r="D5" t="str">
        <f t="shared" si="0"/>
        <v>Grand Total</v>
      </c>
      <c r="E5">
        <f>GETPIVOTDATA("1.8.2 :: Number of Pregnant Women identified  with Presumptive TB symptoms",$A$1)</f>
        <v>26</v>
      </c>
      <c r="I5" s="2" t="s">
        <v>627</v>
      </c>
      <c r="J5" s="10">
        <v>921</v>
      </c>
      <c r="L5" t="str">
        <f t="shared" si="2"/>
        <v>Grand Total</v>
      </c>
      <c r="M5">
        <f>GETPIVOTDATA("1.7.1 :: Number of Pregnant Women tested positive for Thyroid disorder",$I$1)</f>
        <v>921</v>
      </c>
    </row>
    <row r="9" spans="1:13" x14ac:dyDescent="0.3">
      <c r="A9" s="1" t="s">
        <v>626</v>
      </c>
      <c r="B9" t="s">
        <v>649</v>
      </c>
      <c r="C9" t="s">
        <v>650</v>
      </c>
    </row>
    <row r="10" spans="1:13" x14ac:dyDescent="0.3">
      <c r="A10" s="2" t="s">
        <v>51</v>
      </c>
      <c r="B10" s="10">
        <v>4</v>
      </c>
      <c r="C10" s="10">
        <v>2</v>
      </c>
    </row>
    <row r="11" spans="1:13" x14ac:dyDescent="0.3">
      <c r="A11" s="2" t="s">
        <v>181</v>
      </c>
      <c r="B11" s="10">
        <v>7</v>
      </c>
      <c r="C11" s="10">
        <v>2</v>
      </c>
    </row>
    <row r="12" spans="1:13" x14ac:dyDescent="0.3">
      <c r="A12" s="2" t="s">
        <v>364</v>
      </c>
      <c r="B12" s="10">
        <v>15</v>
      </c>
      <c r="C12" s="10">
        <v>12</v>
      </c>
    </row>
    <row r="13" spans="1:13" x14ac:dyDescent="0.3">
      <c r="A13" s="2" t="s">
        <v>627</v>
      </c>
      <c r="B13" s="10">
        <v>26</v>
      </c>
      <c r="C13" s="10">
        <v>16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D72D89-A850-4F6C-8012-A357CA45BD99}">
  <dimension ref="A1:L33"/>
  <sheetViews>
    <sheetView topLeftCell="A24" workbookViewId="0">
      <selection activeCell="D46" sqref="D46"/>
    </sheetView>
  </sheetViews>
  <sheetFormatPr defaultRowHeight="14.4" x14ac:dyDescent="0.3"/>
  <cols>
    <col min="1" max="1" width="12.5546875" bestFit="1" customWidth="1"/>
    <col min="2" max="2" width="31.44140625" bestFit="1" customWidth="1"/>
    <col min="3" max="3" width="25.77734375" bestFit="1" customWidth="1"/>
    <col min="4" max="4" width="25.6640625" bestFit="1" customWidth="1"/>
    <col min="5" max="5" width="32.44140625" bestFit="1" customWidth="1"/>
    <col min="10" max="10" width="13.5546875" customWidth="1"/>
    <col min="11" max="11" width="14.5546875" customWidth="1"/>
  </cols>
  <sheetData>
    <row r="1" spans="1:12" x14ac:dyDescent="0.3">
      <c r="A1" s="1" t="s">
        <v>626</v>
      </c>
      <c r="B1" t="s">
        <v>651</v>
      </c>
    </row>
    <row r="2" spans="1:12" x14ac:dyDescent="0.3">
      <c r="A2" s="2" t="s">
        <v>51</v>
      </c>
      <c r="B2" s="10">
        <v>10</v>
      </c>
      <c r="D2" t="str">
        <f>A2</f>
        <v>Karkal</v>
      </c>
      <c r="E2">
        <f>IFERROR(GETPIVOTDATA("1.9.1 :: Total High Risk Pregnancy (HRP) Intrapartum including following:",$A$1,"Sub-District / ULB Name",A2),0)</f>
        <v>10</v>
      </c>
    </row>
    <row r="3" spans="1:12" x14ac:dyDescent="0.3">
      <c r="A3" s="2" t="s">
        <v>181</v>
      </c>
      <c r="B3" s="10">
        <v>141</v>
      </c>
      <c r="D3" t="str">
        <f t="shared" ref="D3:D5" si="0">A3</f>
        <v>Kundapura</v>
      </c>
      <c r="E3">
        <f t="shared" ref="E3:E4" si="1">IFERROR(GETPIVOTDATA("1.9.1 :: Total High Risk Pregnancy (HRP) Intrapartum including following:",$A$1,"Sub-District / ULB Name",A3),0)</f>
        <v>141</v>
      </c>
    </row>
    <row r="4" spans="1:12" x14ac:dyDescent="0.3">
      <c r="A4" s="2" t="s">
        <v>364</v>
      </c>
      <c r="B4" s="10">
        <v>76</v>
      </c>
      <c r="D4" t="str">
        <f t="shared" si="0"/>
        <v>Udupi</v>
      </c>
      <c r="E4">
        <f t="shared" si="1"/>
        <v>76</v>
      </c>
    </row>
    <row r="5" spans="1:12" x14ac:dyDescent="0.3">
      <c r="A5" s="2" t="s">
        <v>627</v>
      </c>
      <c r="B5" s="10">
        <v>227</v>
      </c>
      <c r="D5" t="str">
        <f t="shared" si="0"/>
        <v>Grand Total</v>
      </c>
      <c r="E5">
        <f>GETPIVOTDATA("1.9.1 :: Total High Risk Pregnancy (HRP) Intrapartum including following:",$A$1)</f>
        <v>227</v>
      </c>
    </row>
    <row r="10" spans="1:12" x14ac:dyDescent="0.3">
      <c r="L10" s="8"/>
    </row>
    <row r="13" spans="1:12" x14ac:dyDescent="0.3">
      <c r="A13" s="1" t="s">
        <v>626</v>
      </c>
      <c r="B13" t="s">
        <v>656</v>
      </c>
      <c r="C13" t="s">
        <v>653</v>
      </c>
      <c r="D13" t="s">
        <v>654</v>
      </c>
      <c r="E13" t="s">
        <v>655</v>
      </c>
    </row>
    <row r="14" spans="1:12" x14ac:dyDescent="0.3">
      <c r="A14" s="2" t="s">
        <v>51</v>
      </c>
      <c r="B14" s="10">
        <v>9</v>
      </c>
      <c r="C14" s="10">
        <v>0</v>
      </c>
      <c r="D14" s="10">
        <v>1</v>
      </c>
      <c r="E14" s="10">
        <v>0</v>
      </c>
    </row>
    <row r="15" spans="1:12" x14ac:dyDescent="0.3">
      <c r="A15" s="2" t="s">
        <v>181</v>
      </c>
      <c r="B15" s="10">
        <v>17</v>
      </c>
      <c r="C15" s="10">
        <v>7</v>
      </c>
      <c r="D15" s="10">
        <v>0</v>
      </c>
      <c r="E15" s="10">
        <v>117</v>
      </c>
    </row>
    <row r="16" spans="1:12" x14ac:dyDescent="0.3">
      <c r="A16" s="2" t="s">
        <v>364</v>
      </c>
      <c r="B16" s="10">
        <v>20</v>
      </c>
      <c r="C16" s="10">
        <v>0</v>
      </c>
      <c r="D16" s="10">
        <v>20</v>
      </c>
      <c r="E16" s="10">
        <v>36</v>
      </c>
    </row>
    <row r="17" spans="1:5" x14ac:dyDescent="0.3">
      <c r="A17" s="2" t="s">
        <v>627</v>
      </c>
      <c r="B17" s="10">
        <v>46</v>
      </c>
      <c r="C17" s="10">
        <v>7</v>
      </c>
      <c r="D17" s="10">
        <v>21</v>
      </c>
      <c r="E17" s="10">
        <v>153</v>
      </c>
    </row>
    <row r="20" spans="1:5" x14ac:dyDescent="0.3">
      <c r="A20" s="1" t="s">
        <v>626</v>
      </c>
      <c r="B20" t="s">
        <v>652</v>
      </c>
    </row>
    <row r="21" spans="1:5" x14ac:dyDescent="0.3">
      <c r="A21" s="2" t="s">
        <v>51</v>
      </c>
      <c r="B21" s="10">
        <v>426</v>
      </c>
      <c r="D21" t="str">
        <f>A21</f>
        <v>Karkal</v>
      </c>
      <c r="E21">
        <f>IFERROR(GETPIVOTDATA("1.9.2 :: Total High Risk Pregnancy (HRP) Antepartum (Only New Cases are to be reported)",$A$20,"Sub-District / ULB Name",A21),0)</f>
        <v>426</v>
      </c>
    </row>
    <row r="22" spans="1:5" x14ac:dyDescent="0.3">
      <c r="A22" s="2" t="s">
        <v>181</v>
      </c>
      <c r="B22" s="10">
        <v>1199</v>
      </c>
      <c r="D22" t="str">
        <f t="shared" ref="D22:D24" si="2">A22</f>
        <v>Kundapura</v>
      </c>
      <c r="E22">
        <f>IFERROR(GETPIVOTDATA("1.9.2 :: Total High Risk Pregnancy (HRP) Antepartum (Only New Cases are to be reported)",$A$20,"Sub-District / ULB Name",A22),0)</f>
        <v>1199</v>
      </c>
    </row>
    <row r="23" spans="1:5" x14ac:dyDescent="0.3">
      <c r="A23" s="2" t="s">
        <v>364</v>
      </c>
      <c r="B23" s="10">
        <v>1353</v>
      </c>
      <c r="D23" t="str">
        <f t="shared" si="2"/>
        <v>Udupi</v>
      </c>
      <c r="E23">
        <f>IFERROR(GETPIVOTDATA("1.9.2 :: Total High Risk Pregnancy (HRP) Antepartum (Only New Cases are to be reported)",$A$20,"Sub-District / ULB Name",A23),0)</f>
        <v>1353</v>
      </c>
    </row>
    <row r="24" spans="1:5" x14ac:dyDescent="0.3">
      <c r="A24" s="2" t="s">
        <v>627</v>
      </c>
      <c r="B24" s="10">
        <v>2978</v>
      </c>
      <c r="D24" t="str">
        <f t="shared" si="2"/>
        <v>Grand Total</v>
      </c>
      <c r="E24">
        <f>GETPIVOTDATA("1.9.2 :: Total High Risk Pregnancy (HRP) Antepartum (Only New Cases are to be reported)",$A$20)</f>
        <v>2978</v>
      </c>
    </row>
    <row r="26" spans="1:5" x14ac:dyDescent="0.3">
      <c r="A26" s="2"/>
    </row>
    <row r="27" spans="1:5" x14ac:dyDescent="0.3">
      <c r="C27" s="5"/>
    </row>
    <row r="28" spans="1:5" x14ac:dyDescent="0.3">
      <c r="C28" s="5"/>
    </row>
    <row r="29" spans="1:5" x14ac:dyDescent="0.3">
      <c r="C29" s="5"/>
    </row>
    <row r="30" spans="1:5" x14ac:dyDescent="0.3">
      <c r="A30" t="str">
        <f t="shared" ref="A30:E33" si="3">A13</f>
        <v>Row Labels</v>
      </c>
      <c r="B30" t="str">
        <f t="shared" si="3"/>
        <v>PW with Post-Partum Haemorrhage</v>
      </c>
      <c r="C30" t="str">
        <f t="shared" si="3"/>
        <v>PW with Sepsis in the facility.</v>
      </c>
      <c r="D30" t="str">
        <f t="shared" si="3"/>
        <v>PW identified with Eclampsia</v>
      </c>
      <c r="E30" t="str">
        <f t="shared" si="3"/>
        <v>PW identified with obstructed labour</v>
      </c>
    </row>
    <row r="31" spans="1:5" x14ac:dyDescent="0.3">
      <c r="A31" t="str">
        <f t="shared" si="3"/>
        <v>Karkal</v>
      </c>
      <c r="B31">
        <f t="shared" si="3"/>
        <v>9</v>
      </c>
      <c r="C31">
        <f t="shared" si="3"/>
        <v>0</v>
      </c>
      <c r="D31">
        <f t="shared" si="3"/>
        <v>1</v>
      </c>
      <c r="E31">
        <f t="shared" si="3"/>
        <v>0</v>
      </c>
    </row>
    <row r="32" spans="1:5" x14ac:dyDescent="0.3">
      <c r="A32" t="str">
        <f t="shared" si="3"/>
        <v>Kundapura</v>
      </c>
      <c r="B32">
        <f t="shared" si="3"/>
        <v>17</v>
      </c>
      <c r="C32">
        <f t="shared" si="3"/>
        <v>7</v>
      </c>
      <c r="D32">
        <f t="shared" si="3"/>
        <v>0</v>
      </c>
      <c r="E32">
        <f t="shared" si="3"/>
        <v>117</v>
      </c>
    </row>
    <row r="33" spans="1:5" x14ac:dyDescent="0.3">
      <c r="A33" t="str">
        <f t="shared" si="3"/>
        <v>Udupi</v>
      </c>
      <c r="B33">
        <f t="shared" si="3"/>
        <v>20</v>
      </c>
      <c r="C33">
        <f t="shared" si="3"/>
        <v>0</v>
      </c>
      <c r="D33">
        <f t="shared" si="3"/>
        <v>20</v>
      </c>
      <c r="E33">
        <f t="shared" si="3"/>
        <v>36</v>
      </c>
    </row>
  </sheetData>
  <pageMargins left="0.7" right="0.7" top="0.75" bottom="0.75" header="0.3" footer="0.3"/>
  <drawing r:id="rId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ANC dataset</vt:lpstr>
      <vt:lpstr>PW new registered</vt:lpstr>
      <vt:lpstr>PW registered by age</vt:lpstr>
      <vt:lpstr>PW registered by TD</vt:lpstr>
      <vt:lpstr>Hypertension</vt:lpstr>
      <vt:lpstr>Hb records</vt:lpstr>
      <vt:lpstr>Diabetics</vt:lpstr>
      <vt:lpstr>Syphilis records</vt:lpstr>
      <vt:lpstr>Thyroid and TB</vt:lpstr>
      <vt:lpstr>HRP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Bandhavya P</cp:lastModifiedBy>
  <dcterms:created xsi:type="dcterms:W3CDTF">2015-06-05T18:17:20Z</dcterms:created>
  <dcterms:modified xsi:type="dcterms:W3CDTF">2026-03-25T15:57:39Z</dcterms:modified>
</cp:coreProperties>
</file>